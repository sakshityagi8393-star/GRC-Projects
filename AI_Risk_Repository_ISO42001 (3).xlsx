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Risk Register" sheetId="2" state="visible" r:id="rId4"/>
    <sheet name="Risk Criteria" sheetId="3" state="visible" r:id="rId5"/>
    <sheet name="Annex A Control Map" sheetId="4" state="visible" r:id="rId6"/>
    <sheet name="Clause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<sst xmlns="http://schemas.openxmlformats.org/spreadsheetml/2006/main" count="1008" uniqueCount="603">
  <si>
    <t xml:space="preserve">AI Risk Repository</t>
  </si>
  <si>
    <t xml:space="preserve">Mapped to ISO/IEC 42001:2023 — AI Management System (AIMS)</t>
  </si>
  <si>
    <t xml:space="preserve">This workbook now contains 40 ready-made example risks covering every part of ISO/IEC 42001 (governance, data, bias, security, privacy, third-party, human oversight, life cycle, documentation, audits and more), plus 30 blank rows for your own company risks.</t>
  </si>
  <si>
    <t xml:space="preserve">What is this file?</t>
  </si>
  <si>
    <t xml:space="preserve">This workbook is a Risk Repository (Risk Register) for Artificial Intelligence (AI) systems. It follows the requirements of ISO/IEC 42001:2023, the international standard for AI Management Systems. Every risk in this file is linked to the correct clause of the standard (Clause 4–10) and, where relevant, to a control in Annex A.</t>
  </si>
  <si>
    <t xml:space="preserve">How to use this workbook:</t>
  </si>
  <si>
    <t xml:space="preserve">1. Go to the 'Risk Register' sheet. This is the main working sheet.</t>
  </si>
  <si>
    <t xml:space="preserve">2. Each row is one risk. Example rows are already filled in (Risk ID starting with 'EX-') — use them as a guide, then replace them with your own company's real risks.</t>
  </si>
  <si>
    <t xml:space="preserve">3. Yellow cells are the cells you are expected to fill in or edit. Formula cells (grey) calculate automatically - do not overwrite them.</t>
  </si>
  <si>
    <t xml:space="preserve">4. Use the drop-down lists provided for Category, Clause Reference, Likelihood, Impact, Treatment Option and Status. This keeps the register consistent and audit-ready.</t>
  </si>
  <si>
    <t xml:space="preserve">5. The 'Risk Score' and 'Risk Level' columns calculate automatically from Likelihood x Impact. The colour (green/yellow/orange/red) shows the risk level at a glance.</t>
  </si>
  <si>
    <t xml:space="preserve">6. Use the 'Risk Criteria' sheet to understand how Likelihood and Impact are scored (1 to 5).</t>
  </si>
  <si>
    <t xml:space="preserve">7. Use the 'Annex A Control Map' sheet as a quick reference for which ISO/IEC 42001 Annex A control topic applies to which type of risk.</t>
  </si>
  <si>
    <t xml:space="preserve">8. Review and update this register at planned intervals (e.g. quarterly) as required by Clause 8.2 and 8.3 of ISO/IEC 42001, and whenever a new AI system, major change, or incident occurs.</t>
  </si>
  <si>
    <t xml:space="preserve">Sheets in this workbook:</t>
  </si>
  <si>
    <t xml:space="preserve">  - Read Me            : This page</t>
  </si>
  <si>
    <t xml:space="preserve">  - Risk Register       : The main risk repository (one row = one risk)</t>
  </si>
  <si>
    <t xml:space="preserve">  - Risk Criteria        : Likelihood / Impact scoring scale and Risk Level bands</t>
  </si>
  <si>
    <t xml:space="preserve">  - Annex A Control Map  : Summary of ISO/IEC 42001 Annex A control topics for quick reference</t>
  </si>
  <si>
    <t xml:space="preserve">  - Clause Reference     : Summary of ISO/IEC 42001 main clauses (Clause 4-10) for quick reference</t>
  </si>
  <si>
    <t xml:space="preserve">Notes:</t>
  </si>
  <si>
    <t xml:space="preserve">  - This workbook is a working template built to help your company implement Clause 6.1 (Actions to address risks and opportunities) of ISO/IEC 42001. It is not a certified or official ISO document.</t>
  </si>
  <si>
    <t xml:space="preserve">  - Field names and scoring scales can be adjusted to match your organisation's existing risk management framework (see Clause 6.1.1 of ISO/IEC 42001), as long as the logic stays consistent.</t>
  </si>
  <si>
    <t xml:space="preserve">AI RISK REPOSITORY  —  Mapped to ISO/IEC 42001:2023 (with CIA Rating)</t>
  </si>
  <si>
    <t xml:space="preserve">Company Name: [Enter Company Name]      |      AI Management System Scope: [Enter Scope]      |      Prepared by: [Name]      |      Last Updated: [Date]      |      CIA = Confidentiality, Integrity, Availability</t>
  </si>
  <si>
    <t xml:space="preserve">Risk
ID</t>
  </si>
  <si>
    <t xml:space="preserve">Date
Identified</t>
  </si>
  <si>
    <t xml:space="preserve">AI System /
Process Name</t>
  </si>
  <si>
    <t xml:space="preserve">Risk Category</t>
  </si>
  <si>
    <t xml:space="preserve">ISO/IEC 42001
Clause Ref.</t>
  </si>
  <si>
    <t xml:space="preserve">Annex A
Control Ref.</t>
  </si>
  <si>
    <t xml:space="preserve">Risk Description
(what could go wrong)</t>
  </si>
  <si>
    <t xml:space="preserve">Risk Source / Cause</t>
  </si>
  <si>
    <t xml:space="preserve">Potential Consequence</t>
  </si>
  <si>
    <t xml:space="preserve">Confidentiality
(C)</t>
  </si>
  <si>
    <t xml:space="preserve">Integrity
(I)</t>
  </si>
  <si>
    <t xml:space="preserve">Availability
(A)</t>
  </si>
  <si>
    <t xml:space="preserve">Likelihood
(1-5)</t>
  </si>
  <si>
    <t xml:space="preserve">Impact
(1-5)</t>
  </si>
  <si>
    <t xml:space="preserve">Inherent
Risk Score</t>
  </si>
  <si>
    <t xml:space="preserve">Inherent
Risk Level</t>
  </si>
  <si>
    <t xml:space="preserve">Existing Controls</t>
  </si>
  <si>
    <t xml:space="preserve">Risk Treatment
Option</t>
  </si>
  <si>
    <t xml:space="preserve">Treatment Actions /
Additional Controls Needed</t>
  </si>
  <si>
    <t xml:space="preserve">Risk Owner</t>
  </si>
  <si>
    <t xml:space="preserve">Target
Completion Date</t>
  </si>
  <si>
    <t xml:space="preserve">Residual
Likelihood</t>
  </si>
  <si>
    <t xml:space="preserve">Residual
Impact</t>
  </si>
  <si>
    <t xml:space="preserve">Residual
Risk Score</t>
  </si>
  <si>
    <t xml:space="preserve">Residual
Risk Level</t>
  </si>
  <si>
    <t xml:space="preserve">Status</t>
  </si>
  <si>
    <t xml:space="preserve">Last Review
Date</t>
  </si>
  <si>
    <t xml:space="preserve">Next Review
Date</t>
  </si>
  <si>
    <t xml:space="preserve">Notes</t>
  </si>
  <si>
    <t xml:space="preserve">EX-001</t>
  </si>
  <si>
    <t xml:space="preserve">2026-01-10</t>
  </si>
  <si>
    <t xml:space="preserve">Customer Support Chatbot</t>
  </si>
  <si>
    <t xml:space="preserve">Data Quality</t>
  </si>
  <si>
    <t xml:space="preserve">6.1.2</t>
  </si>
  <si>
    <t xml:space="preserve">A.7.4</t>
  </si>
  <si>
    <t xml:space="preserve">Chatbot gives wrong or outdated answers because training data is not refreshed.</t>
  </si>
  <si>
    <t xml:space="preserve">No scheduled data refresh process; poor data quality control.</t>
  </si>
  <si>
    <t xml:space="preserve">Customer complaints, loss of trust, wrong information given to customers.</t>
  </si>
  <si>
    <t xml:space="preserve">Low</t>
  </si>
  <si>
    <t xml:space="preserve">Medium</t>
  </si>
  <si>
    <t xml:space="preserve">Manual spot-checks of chatbot answers by support team.</t>
  </si>
  <si>
    <t xml:space="preserve">Reduce</t>
  </si>
  <si>
    <t xml:space="preserve">Set up quarterly data quality review and automated freshness checks.</t>
  </si>
  <si>
    <t xml:space="preserve">Head of Customer Support</t>
  </si>
  <si>
    <t xml:space="preserve">2026-03-31</t>
  </si>
  <si>
    <t xml:space="preserve">In Progress</t>
  </si>
  <si>
    <t xml:space="preserve">2026-04-10</t>
  </si>
  <si>
    <t xml:space="preserve">Linked to A.4.3.</t>
  </si>
  <si>
    <t xml:space="preserve">EX-002</t>
  </si>
  <si>
    <t xml:space="preserve">2026-01-12</t>
  </si>
  <si>
    <t xml:space="preserve">Résumé Screening Model</t>
  </si>
  <si>
    <t xml:space="preserve">Bias &amp; Fairness</t>
  </si>
  <si>
    <t xml:space="preserve">6.1.4</t>
  </si>
  <si>
    <t xml:space="preserve">A.5.4</t>
  </si>
  <si>
    <t xml:space="preserve">Hiring AI may unfairly reject candidates from certain demographic groups due to biased training data.</t>
  </si>
  <si>
    <t xml:space="preserve">Historical hiring data reflects past biased decisions.</t>
  </si>
  <si>
    <t xml:space="preserve">Discrimination claims, legal exposure, reputational damage, unfair impact on individuals.</t>
  </si>
  <si>
    <t xml:space="preserve">High</t>
  </si>
  <si>
    <t xml:space="preserve">None currently in place.</t>
  </si>
  <si>
    <t xml:space="preserve">Perform AI system impact assessment; add bias testing; add human review of rejections.</t>
  </si>
  <si>
    <t xml:space="preserve">Head of HR / AI Governance Lead</t>
  </si>
  <si>
    <t xml:space="preserve">2026-02-28</t>
  </si>
  <si>
    <t xml:space="preserve">Open</t>
  </si>
  <si>
    <t xml:space="preserve">2026-02-15</t>
  </si>
  <si>
    <t xml:space="preserve">High priority.</t>
  </si>
  <si>
    <t xml:space="preserve">EX-003</t>
  </si>
  <si>
    <t xml:space="preserve">2026-01-15</t>
  </si>
  <si>
    <t xml:space="preserve">Fraud Detection Model</t>
  </si>
  <si>
    <t xml:space="preserve">Model Performance / Robustness</t>
  </si>
  <si>
    <t xml:space="preserve">8.2</t>
  </si>
  <si>
    <t xml:space="preserve">A.6.2.6</t>
  </si>
  <si>
    <t xml:space="preserve">Model accuracy drops over time due to changing transaction patterns (data drift), missing fraud cases.</t>
  </si>
  <si>
    <t xml:space="preserve">No continuous performance monitoring in production.</t>
  </si>
  <si>
    <t xml:space="preserve">Increased financial loss from undetected fraud; regulatory scrutiny.</t>
  </si>
  <si>
    <t xml:space="preserve">Manual monthly performance report reviewed by data science team.</t>
  </si>
  <si>
    <t xml:space="preserve">Implement automated drift monitoring, alerting, and retraining triggers.</t>
  </si>
  <si>
    <t xml:space="preserve">Data Science Lead</t>
  </si>
  <si>
    <t xml:space="preserve">2026-03-15</t>
  </si>
  <si>
    <t xml:space="preserve">2026-04-15</t>
  </si>
  <si>
    <t xml:space="preserve">EX-004</t>
  </si>
  <si>
    <t xml:space="preserve">2026-01-18</t>
  </si>
  <si>
    <t xml:space="preserve">All AI Systems</t>
  </si>
  <si>
    <t xml:space="preserve">Security</t>
  </si>
  <si>
    <t xml:space="preserve">A.6.2.3</t>
  </si>
  <si>
    <t xml:space="preserve">AI model could be attacked through data poisoning or model inversion, exposing sensitive data or corrupting outputs.</t>
  </si>
  <si>
    <t xml:space="preserve">Lack of AI-specific security controls beyond standard IT security.</t>
  </si>
  <si>
    <t xml:space="preserve">Data breach, loss of model integrity, regulatory penalties, reputational harm.</t>
  </si>
  <si>
    <t xml:space="preserve">Standard network and access security controls (non-AI specific).</t>
  </si>
  <si>
    <t xml:space="preserve">Conduct AI-specific threat assessment; add input validation and anomaly detection.</t>
  </si>
  <si>
    <t xml:space="preserve">Chief Information Security Officer</t>
  </si>
  <si>
    <t xml:space="preserve">2026-04-30</t>
  </si>
  <si>
    <t xml:space="preserve">Coordinate with ISMS team.</t>
  </si>
  <si>
    <t xml:space="preserve">EX-005</t>
  </si>
  <si>
    <t xml:space="preserve">2026-01-20</t>
  </si>
  <si>
    <t xml:space="preserve">Marketing Content Generator</t>
  </si>
  <si>
    <t xml:space="preserve">Transparency &amp; Explainability</t>
  </si>
  <si>
    <t xml:space="preserve">9.3</t>
  </si>
  <si>
    <t xml:space="preserve">A.8.2</t>
  </si>
  <si>
    <t xml:space="preserve">Customers are not told when marketing content (images/text) is generated by AI.</t>
  </si>
  <si>
    <t xml:space="preserve">No disclosure policy for AI-generated content.</t>
  </si>
  <si>
    <t xml:space="preserve">Loss of customer trust; possible non-compliance with AI disclosure laws.</t>
  </si>
  <si>
    <t xml:space="preserve">Add clear AI-generated content labelling; update customer documentation.</t>
  </si>
  <si>
    <t xml:space="preserve">Marketing Director</t>
  </si>
  <si>
    <t xml:space="preserve">2026-03-01</t>
  </si>
  <si>
    <t xml:space="preserve">EX-006</t>
  </si>
  <si>
    <t xml:space="preserve">2026-01-22</t>
  </si>
  <si>
    <t xml:space="preserve">Vendor Analytics Tool</t>
  </si>
  <si>
    <t xml:space="preserve">Third-Party / Supplier</t>
  </si>
  <si>
    <t xml:space="preserve">6.1.3</t>
  </si>
  <si>
    <t xml:space="preserve">A.10.3</t>
  </si>
  <si>
    <t xml:space="preserve">A third-party AI vendor may change or discontinue their model without notice, disrupting operations.</t>
  </si>
  <si>
    <t xml:space="preserve">No formal AI supplier risk management process; no AI-specific contract clauses.</t>
  </si>
  <si>
    <t xml:space="preserve">Service disruption, inability to meet customer commitments, hidden compliance gaps.</t>
  </si>
  <si>
    <t xml:space="preserve">Standard vendor contract without AI-specific clauses.</t>
  </si>
  <si>
    <t xml:space="preserve">Transfer</t>
  </si>
  <si>
    <t xml:space="preserve">Add AI-specific clauses (change notice, documentation rights); maintain supplier risk log.</t>
  </si>
  <si>
    <t xml:space="preserve">Procurement Manager</t>
  </si>
  <si>
    <t xml:space="preserve">2026-05-01</t>
  </si>
  <si>
    <t xml:space="preserve">EX-007</t>
  </si>
  <si>
    <t xml:space="preserve">2026-01-24</t>
  </si>
  <si>
    <t xml:space="preserve">AI Governance Programme</t>
  </si>
  <si>
    <t xml:space="preserve">Governance / Roles</t>
  </si>
  <si>
    <t xml:space="preserve">5.3</t>
  </si>
  <si>
    <t xml:space="preserve">A.3.2</t>
  </si>
  <si>
    <t xml:space="preserve">No one is clearly accountable for AI risk decisions across the company.</t>
  </si>
  <si>
    <t xml:space="preserve">AI roles and responsibilities not formally defined or communicated.</t>
  </si>
  <si>
    <t xml:space="preserve">Slow or inconsistent decision-making; risks fall through the gaps; audit failure.</t>
  </si>
  <si>
    <t xml:space="preserve">Informal ownership by IT department.</t>
  </si>
  <si>
    <t xml:space="preserve">Define and document AI roles (owner, risk lead, reviewers); communicate across company.</t>
  </si>
  <si>
    <t xml:space="preserve">Chief Technology Officer</t>
  </si>
  <si>
    <t xml:space="preserve">2026-02-20</t>
  </si>
  <si>
    <t xml:space="preserve">EX-008</t>
  </si>
  <si>
    <t xml:space="preserve">2026-01-25</t>
  </si>
  <si>
    <t xml:space="preserve">5.2</t>
  </si>
  <si>
    <t xml:space="preserve">A.2.2</t>
  </si>
  <si>
    <t xml:space="preserve">Company has no documented AI policy, so employees use AI tools inconsistently and without guardrails.</t>
  </si>
  <si>
    <t xml:space="preserve">AI adoption grew faster than governance; no formal policy written.</t>
  </si>
  <si>
    <t xml:space="preserve">Inconsistent AI use, higher risk exposure, difficulty proving compliance to regulators/auditors.</t>
  </si>
  <si>
    <t xml:space="preserve">Informal verbal guidance from management.</t>
  </si>
  <si>
    <t xml:space="preserve">Draft and approve a formal AI policy; publish and train staff on it.</t>
  </si>
  <si>
    <t xml:space="preserve">2026-02-10</t>
  </si>
  <si>
    <t xml:space="preserve">EX-009</t>
  </si>
  <si>
    <t xml:space="preserve">2026-01-26</t>
  </si>
  <si>
    <t xml:space="preserve">Internal Whistleblowing Channel</t>
  </si>
  <si>
    <t xml:space="preserve">A.3.3</t>
  </si>
  <si>
    <t xml:space="preserve">Staff have no clear channel to report concerns about how an AI system is being used.</t>
  </si>
  <si>
    <t xml:space="preserve">No dedicated AI concern reporting process; general complaint channel not well known.</t>
  </si>
  <si>
    <t xml:space="preserve">Issues stay hidden until they become serious incidents; loss of employee trust.</t>
  </si>
  <si>
    <t xml:space="preserve">General HR complaint line (not AI-specific).</t>
  </si>
  <si>
    <t xml:space="preserve">Set up a confidential AI concern reporting channel with defined response process.</t>
  </si>
  <si>
    <t xml:space="preserve">Head of Compliance</t>
  </si>
  <si>
    <t xml:space="preserve">2026-03-10</t>
  </si>
  <si>
    <t xml:space="preserve">EX-010</t>
  </si>
  <si>
    <t xml:space="preserve">2026-01-28</t>
  </si>
  <si>
    <t xml:space="preserve">Credit Scoring Model</t>
  </si>
  <si>
    <t xml:space="preserve">Data Resources</t>
  </si>
  <si>
    <t xml:space="preserve">A.4.3</t>
  </si>
  <si>
    <t xml:space="preserve">Data resources (training/validation/test data) used for the credit model are not documented, so origin and quality are unclear.</t>
  </si>
  <si>
    <t xml:space="preserve">No standard process to log data resources used per AI system.</t>
  </si>
  <si>
    <t xml:space="preserve">Cannot prove data quality/compliance to regulators; difficult to investigate errors.</t>
  </si>
  <si>
    <t xml:space="preserve">Data stored in shared drive without formal documentation.</t>
  </si>
  <si>
    <t xml:space="preserve">Create a data resource register for each AI system (source, quality, retention).</t>
  </si>
  <si>
    <t xml:space="preserve">Data Governance Lead</t>
  </si>
  <si>
    <t xml:space="preserve">2026-03-20</t>
  </si>
  <si>
    <t xml:space="preserve">EX-011</t>
  </si>
  <si>
    <t xml:space="preserve">2026-01-29</t>
  </si>
  <si>
    <t xml:space="preserve">Resource Management</t>
  </si>
  <si>
    <t xml:space="preserve">7.1</t>
  </si>
  <si>
    <t xml:space="preserve">A.4.6</t>
  </si>
  <si>
    <t xml:space="preserve">Not enough skilled staff (data scientists, AI risk reviewers) to safely run and monitor AI systems.</t>
  </si>
  <si>
    <t xml:space="preserve">Rapid AI adoption without matching hiring/training plan.</t>
  </si>
  <si>
    <t xml:space="preserve">Poor oversight, slower incident response, higher chance of undetected errors.</t>
  </si>
  <si>
    <t xml:space="preserve">Existing IT team handling AI tasks alongside other duties.</t>
  </si>
  <si>
    <t xml:space="preserve">Hire or train dedicated AI resources; document required competencies (Clause 7.2).</t>
  </si>
  <si>
    <t xml:space="preserve">2026-06-30</t>
  </si>
  <si>
    <t xml:space="preserve">EX-012</t>
  </si>
  <si>
    <t xml:space="preserve">2026-01-30</t>
  </si>
  <si>
    <t xml:space="preserve">Document Summarisation Tool</t>
  </si>
  <si>
    <t xml:space="preserve">A.7.6</t>
  </si>
  <si>
    <t xml:space="preserve">Poorly prepared/cleaned input data causes the summarisation tool to produce inaccurate summaries.</t>
  </si>
  <si>
    <t xml:space="preserve">No defined data preparation/cleaning standard before feeding documents to the model.</t>
  </si>
  <si>
    <t xml:space="preserve">Wrong summaries used in business decisions; wasted staff time correcting errors.</t>
  </si>
  <si>
    <t xml:space="preserve">Users manually check summaries occasionally.</t>
  </si>
  <si>
    <t xml:space="preserve">Define data preparation criteria and methods; document in data preparation SOP.</t>
  </si>
  <si>
    <t xml:space="preserve">2026-04-01</t>
  </si>
  <si>
    <t xml:space="preserve">EX-013</t>
  </si>
  <si>
    <t xml:space="preserve">2026-02-01</t>
  </si>
  <si>
    <t xml:space="preserve">Loan Approval Model</t>
  </si>
  <si>
    <t xml:space="preserve">AI System Impact</t>
  </si>
  <si>
    <t xml:space="preserve">A.5.2</t>
  </si>
  <si>
    <t xml:space="preserve">No formal impact assessment has been done to check how the loan model affects applicants, especially vulnerable groups.</t>
  </si>
  <si>
    <t xml:space="preserve">AI system impact assessment process not yet established.</t>
  </si>
  <si>
    <t xml:space="preserve">Unidentified harms to applicants; regulatory non-compliance; reputational risk.</t>
  </si>
  <si>
    <t xml:space="preserve">Establish and run a formal AI system impact assessment process before next model update.</t>
  </si>
  <si>
    <t xml:space="preserve">AI Governance Lead</t>
  </si>
  <si>
    <t xml:space="preserve">2026-03-05</t>
  </si>
  <si>
    <t xml:space="preserve">Critical - regulatory deadline.</t>
  </si>
  <si>
    <t xml:space="preserve">EX-014</t>
  </si>
  <si>
    <t xml:space="preserve">2026-02-02</t>
  </si>
  <si>
    <t xml:space="preserve">Facial Recognition Access System</t>
  </si>
  <si>
    <t xml:space="preserve">Societal Impact</t>
  </si>
  <si>
    <t xml:space="preserve">A.5.5</t>
  </si>
  <si>
    <t xml:space="preserve">Use of facial recognition for building access could disproportionately misidentify certain groups, causing unfair denial of access.</t>
  </si>
  <si>
    <t xml:space="preserve">Vendor model not tested for accuracy across different demographic groups.</t>
  </si>
  <si>
    <t xml:space="preserve">Discrimination complaints, legal exposure, harm to affected individuals, reputational damage.</t>
  </si>
  <si>
    <t xml:space="preserve">Standard vendor accuracy claims only, not independently verified.</t>
  </si>
  <si>
    <t xml:space="preserve">Request independent bias/accuracy testing from vendor; add manual override option.</t>
  </si>
  <si>
    <t xml:space="preserve">Facilities &amp; Security Manager</t>
  </si>
  <si>
    <t xml:space="preserve">EX-015</t>
  </si>
  <si>
    <t xml:space="preserve">2026-02-03</t>
  </si>
  <si>
    <t xml:space="preserve">Environmental Impact</t>
  </si>
  <si>
    <t xml:space="preserve">4.1</t>
  </si>
  <si>
    <t xml:space="preserve">High energy use from running and training large AI models is not tracked, so environmental impact is unknown.</t>
  </si>
  <si>
    <t xml:space="preserve">No monitoring of AI-related compute/energy consumption.</t>
  </si>
  <si>
    <t xml:space="preserve">Unmanaged carbon footprint; possible conflict with company sustainability goals; reporting gaps.</t>
  </si>
  <si>
    <t xml:space="preserve">Accept</t>
  </si>
  <si>
    <t xml:space="preserve">Track cloud compute usage/energy cost for AI workloads; review annually.</t>
  </si>
  <si>
    <t xml:space="preserve">IT Operations Manager</t>
  </si>
  <si>
    <t xml:space="preserve">2026-07-01</t>
  </si>
  <si>
    <t xml:space="preserve">Low priority for now.</t>
  </si>
  <si>
    <t xml:space="preserve">EX-016</t>
  </si>
  <si>
    <t xml:space="preserve">2026-02-04</t>
  </si>
  <si>
    <t xml:space="preserve">Sales Forecasting Model</t>
  </si>
  <si>
    <t xml:space="preserve">6.2</t>
  </si>
  <si>
    <t xml:space="preserve">A.6.2.4</t>
  </si>
  <si>
    <t xml:space="preserve">Sales forecast model was never formally tested against defined acceptance/evaluation criteria before go-live.</t>
  </si>
  <si>
    <t xml:space="preserve">No verification and validation process defined for AI models before deployment.</t>
  </si>
  <si>
    <t xml:space="preserve">Inaccurate forecasts leading to poor business planning and financial loss.</t>
  </si>
  <si>
    <t xml:space="preserve">Informal review by the analyst who built the model.</t>
  </si>
  <si>
    <t xml:space="preserve">Define verification/validation criteria and release checklist for all new models.</t>
  </si>
  <si>
    <t xml:space="preserve">Head of Analytics</t>
  </si>
  <si>
    <t xml:space="preserve">2026-03-25</t>
  </si>
  <si>
    <t xml:space="preserve">EX-017</t>
  </si>
  <si>
    <t xml:space="preserve">2026-02-05</t>
  </si>
  <si>
    <t xml:space="preserve">Documentation</t>
  </si>
  <si>
    <t xml:space="preserve">7.5</t>
  </si>
  <si>
    <t xml:space="preserve">A.6.2.7</t>
  </si>
  <si>
    <t xml:space="preserve">Technical documentation for AI systems (design, data, limitations) is missing or outdated.</t>
  </si>
  <si>
    <t xml:space="preserve">No standard documentation template or requirement enforced during development.</t>
  </si>
  <si>
    <t xml:space="preserve">Difficult to audit, onboard new staff, or respond to regulator requests; knowledge loss when staff leave.</t>
  </si>
  <si>
    <t xml:space="preserve">Some code comments exist; no formal documentation.</t>
  </si>
  <si>
    <t xml:space="preserve">Create mandatory AI system technical documentation template; backfill for existing systems.</t>
  </si>
  <si>
    <t xml:space="preserve">2026-05-15</t>
  </si>
  <si>
    <t xml:space="preserve">EX-018</t>
  </si>
  <si>
    <t xml:space="preserve">2026-02-06</t>
  </si>
  <si>
    <t xml:space="preserve">6.2.8</t>
  </si>
  <si>
    <t xml:space="preserve">A.6.2.8</t>
  </si>
  <si>
    <t xml:space="preserve">AI systems in production do not keep event logs, so it is impossible to trace what happened during an incident.</t>
  </si>
  <si>
    <t xml:space="preserve">Logging not enabled or configured for AI system outputs and events.</t>
  </si>
  <si>
    <t xml:space="preserve">Cannot investigate incidents properly; weak accountability; possible regulatory non-compliance.</t>
  </si>
  <si>
    <t xml:space="preserve">Basic application logs exist but do not cover AI-specific events.</t>
  </si>
  <si>
    <t xml:space="preserve">Enable AI-specific event logging (inputs, outputs, anomalies) with defined retention period.</t>
  </si>
  <si>
    <t xml:space="preserve">EX-019</t>
  </si>
  <si>
    <t xml:space="preserve">2026-02-07</t>
  </si>
  <si>
    <t xml:space="preserve">HR Chatbot</t>
  </si>
  <si>
    <t xml:space="preserve">Privacy</t>
  </si>
  <si>
    <t xml:space="preserve">A.7.2</t>
  </si>
  <si>
    <t xml:space="preserve">HR chatbot processes employee personal data without a clear data protection review, risking privacy violations.</t>
  </si>
  <si>
    <t xml:space="preserve">AI project launched without involving the privacy/legal team.</t>
  </si>
  <si>
    <t xml:space="preserve">Breach of data protection law, fines, loss of employee trust.</t>
  </si>
  <si>
    <t xml:space="preserve">Standard company data protection policy (not AI-specific).</t>
  </si>
  <si>
    <t xml:space="preserve">Run a privacy impact assessment; align with ISO/IEC 27701 privacy controls.</t>
  </si>
  <si>
    <t xml:space="preserve">Data Protection Officer</t>
  </si>
  <si>
    <t xml:space="preserve">2026-03-12</t>
  </si>
  <si>
    <t xml:space="preserve">EX-020</t>
  </si>
  <si>
    <t xml:space="preserve">2026-02-08</t>
  </si>
  <si>
    <t xml:space="preserve">Predictive Maintenance Model</t>
  </si>
  <si>
    <t xml:space="preserve">Data Provenance</t>
  </si>
  <si>
    <t xml:space="preserve">A.7.5</t>
  </si>
  <si>
    <t xml:space="preserve">Origin of sensor data used to train the maintenance model is not tracked, so its reliability cannot be confirmed.</t>
  </si>
  <si>
    <t xml:space="preserve">No data provenance recording process across data pipelines.</t>
  </si>
  <si>
    <t xml:space="preserve">Cannot trust model outputs; difficult to detect tampered or low-quality data sources.</t>
  </si>
  <si>
    <t xml:space="preserve">Implement data provenance tracking (source, date, transformations) for all training data.</t>
  </si>
  <si>
    <t xml:space="preserve">Data Engineering Lead</t>
  </si>
  <si>
    <t xml:space="preserve">EX-021</t>
  </si>
  <si>
    <t xml:space="preserve">2026-02-09</t>
  </si>
  <si>
    <t xml:space="preserve">Human Oversight</t>
  </si>
  <si>
    <t xml:space="preserve">A.9.3</t>
  </si>
  <si>
    <t xml:space="preserve">AI system decisions are automatically applied without any human review, even for high-impact cases.</t>
  </si>
  <si>
    <t xml:space="preserve">No human oversight checkpoints defined in the AI system design.</t>
  </si>
  <si>
    <t xml:space="preserve">Wrong automated decisions go unnoticed; harm to affected individuals; limited ability to correct errors quickly.</t>
  </si>
  <si>
    <t xml:space="preserve">Add mandatory human review step for high-impact decisions; define override authority.</t>
  </si>
  <si>
    <t xml:space="preserve">EX-022</t>
  </si>
  <si>
    <t xml:space="preserve">Customer-Facing AI Systems</t>
  </si>
  <si>
    <t xml:space="preserve">Information for Users</t>
  </si>
  <si>
    <t xml:space="preserve">7.4</t>
  </si>
  <si>
    <t xml:space="preserve">Users of AI-powered products are not given instructions on how the system works or its limitations.</t>
  </si>
  <si>
    <t xml:space="preserve">No user-facing documentation created for AI features.</t>
  </si>
  <si>
    <t xml:space="preserve">Misuse of the system by customers; support tickets; loss of trust when the AI behaves unexpectedly.</t>
  </si>
  <si>
    <t xml:space="preserve">Basic FAQ page exists, not AI-specific.</t>
  </si>
  <si>
    <t xml:space="preserve">Create AI feature user guide covering purpose, limitations, and how to get help.</t>
  </si>
  <si>
    <t xml:space="preserve">Product Manager</t>
  </si>
  <si>
    <t xml:space="preserve">EX-023</t>
  </si>
  <si>
    <t xml:space="preserve">2026-02-11</t>
  </si>
  <si>
    <t xml:space="preserve">Incident Management</t>
  </si>
  <si>
    <t xml:space="preserve">10.2</t>
  </si>
  <si>
    <t xml:space="preserve">A.8.4</t>
  </si>
  <si>
    <t xml:space="preserve">No defined plan exists to communicate an AI-related incident (e.g. wrong output causing harm) to affected users.</t>
  </si>
  <si>
    <t xml:space="preserve">AI incidents are not integrated into the company's existing incident response plan.</t>
  </si>
  <si>
    <t xml:space="preserve">Delayed or inconsistent communication after an incident; regulatory and reputational risk.</t>
  </si>
  <si>
    <t xml:space="preserve">General IT incident response plan (not AI-specific).</t>
  </si>
  <si>
    <t xml:space="preserve">Add an AI incident communication plan to the existing incident response procedure.</t>
  </si>
  <si>
    <t xml:space="preserve">2026-04-20</t>
  </si>
  <si>
    <t xml:space="preserve">EX-024</t>
  </si>
  <si>
    <t xml:space="preserve">2026-02-12</t>
  </si>
  <si>
    <t xml:space="preserve">Recommendation Engine</t>
  </si>
  <si>
    <t xml:space="preserve">Recommendation engine performance has never been re-evaluated since launch two years ago, despite changing customer behaviour.</t>
  </si>
  <si>
    <t xml:space="preserve">No planned interval for re-running AI risk assessments and performance checks.</t>
  </si>
  <si>
    <t xml:space="preserve">Model gives increasingly irrelevant or poor recommendations, hurting sales and customer experience.</t>
  </si>
  <si>
    <t xml:space="preserve">Schedule a fixed review interval (e.g. every 6 months) for model performance checks.</t>
  </si>
  <si>
    <t xml:space="preserve">2026-03-30</t>
  </si>
  <si>
    <t xml:space="preserve">EX-025</t>
  </si>
  <si>
    <t xml:space="preserve">2026-02-13</t>
  </si>
  <si>
    <t xml:space="preserve">Legal &amp; Regulatory</t>
  </si>
  <si>
    <t xml:space="preserve">A.2.3</t>
  </si>
  <si>
    <t xml:space="preserve">Company is not tracking new or upcoming AI laws and regulations that could apply to its AI systems.</t>
  </si>
  <si>
    <t xml:space="preserve">No formal process to monitor external legal/regulatory developments related to AI.</t>
  </si>
  <si>
    <t xml:space="preserve">Non-compliance with new legal requirements; fines; forced last-minute changes to AI systems.</t>
  </si>
  <si>
    <t xml:space="preserve">Legal team occasionally reviews general regulations, not AI-specific.</t>
  </si>
  <si>
    <t xml:space="preserve">Assign responsibility for monitoring AI regulatory developments; review quarterly.</t>
  </si>
  <si>
    <t xml:space="preserve">EX-026</t>
  </si>
  <si>
    <t xml:space="preserve">2026-02-14</t>
  </si>
  <si>
    <t xml:space="preserve">Employee Productivity Monitoring Tool</t>
  </si>
  <si>
    <t xml:space="preserve">AI-based monitoring tool tracks employee activity in ways that may be seen as excessive surveillance, harming morale and trust.</t>
  </si>
  <si>
    <t xml:space="preserve">Tool deployed without assessing impact on employee wellbeing and privacy expectations.</t>
  </si>
  <si>
    <t xml:space="preserve">Loss of employee trust, possible legal claims, negative workplace culture impact.</t>
  </si>
  <si>
    <t xml:space="preserve">General HR privacy notice (not specific to AI monitoring).</t>
  </si>
  <si>
    <t xml:space="preserve">Run impact assessment on employee wellbeing; limit data collected; communicate transparently.</t>
  </si>
  <si>
    <t xml:space="preserve">Head of HR</t>
  </si>
  <si>
    <t xml:space="preserve">2026-04-05</t>
  </si>
  <si>
    <t xml:space="preserve">EX-027</t>
  </si>
  <si>
    <t xml:space="preserve">A.10.2</t>
  </si>
  <si>
    <t xml:space="preserve">Unclear who is responsible (company vs. AI vendor) if a third-party AI component fails or causes harm.</t>
  </si>
  <si>
    <t xml:space="preserve">Responsibilities not documented between the organisation, suppliers, and partners.</t>
  </si>
  <si>
    <t xml:space="preserve">Delayed response to failures, disputes with vendors, unclear accountability to affected customers.</t>
  </si>
  <si>
    <t xml:space="preserve">General service agreements without clear AI responsibility split.</t>
  </si>
  <si>
    <t xml:space="preserve">Document responsibility allocation across the AI system life cycle with each supplier.</t>
  </si>
  <si>
    <t xml:space="preserve">2026-05-10</t>
  </si>
  <si>
    <t xml:space="preserve">EX-028</t>
  </si>
  <si>
    <t xml:space="preserve">2026-02-16</t>
  </si>
  <si>
    <t xml:space="preserve">New Internal AI Tool Requests</t>
  </si>
  <si>
    <t xml:space="preserve">AI System Life Cycle</t>
  </si>
  <si>
    <t xml:space="preserve">6.2.2</t>
  </si>
  <si>
    <t xml:space="preserve">A.6.2.2</t>
  </si>
  <si>
    <t xml:space="preserve">New AI system ideas are built without documenting requirements, business case, or success criteria first.</t>
  </si>
  <si>
    <t xml:space="preserve">No intake/approval process before AI development starts.</t>
  </si>
  <si>
    <t xml:space="preserve">Wasted resources, systems that do not meet business needs, higher risk of poorly designed AI.</t>
  </si>
  <si>
    <t xml:space="preserve">Informal discussions before starting a project.</t>
  </si>
  <si>
    <t xml:space="preserve">Create an AI project intake form requiring documented requirements and approval before build.</t>
  </si>
  <si>
    <t xml:space="preserve">EX-029</t>
  </si>
  <si>
    <t xml:space="preserve">2026-02-17</t>
  </si>
  <si>
    <t xml:space="preserve">6.2.5</t>
  </si>
  <si>
    <t xml:space="preserve">A.6.2.5</t>
  </si>
  <si>
    <t xml:space="preserve">AI systems are deployed to production without a documented deployment plan or release checklist.</t>
  </si>
  <si>
    <t xml:space="preserve">No formal 'go live' approval process for AI systems.</t>
  </si>
  <si>
    <t xml:space="preserve">Systems go live with unresolved issues; harder to roll back if something goes wrong.</t>
  </si>
  <si>
    <t xml:space="preserve">Informal sign-off by project lead.</t>
  </si>
  <si>
    <t xml:space="preserve">Create a deployment plan template with release criteria and required approvals.</t>
  </si>
  <si>
    <t xml:space="preserve">EX-030</t>
  </si>
  <si>
    <t xml:space="preserve">2026-02-18</t>
  </si>
  <si>
    <t xml:space="preserve">Competence</t>
  </si>
  <si>
    <t xml:space="preserve">7.2</t>
  </si>
  <si>
    <t xml:space="preserve">Employees using AI tools have not received training on responsible AI use, data handling, or company AI policy.</t>
  </si>
  <si>
    <t xml:space="preserve">No AI training programme established for staff.</t>
  </si>
  <si>
    <t xml:space="preserve">Misuse of AI tools, accidental data leaks, non-compliance with policy due to lack of awareness.</t>
  </si>
  <si>
    <t xml:space="preserve">General IT security awareness training (not AI-specific).</t>
  </si>
  <si>
    <t xml:space="preserve">Develop and roll out mandatory AI awareness and responsible-use training for all staff.</t>
  </si>
  <si>
    <t xml:space="preserve">Head of HR / L&amp;D</t>
  </si>
  <si>
    <t xml:space="preserve">EX-031</t>
  </si>
  <si>
    <t xml:space="preserve">2026-02-19</t>
  </si>
  <si>
    <t xml:space="preserve">AI Chat Assistant (external website)</t>
  </si>
  <si>
    <t xml:space="preserve">Website chat assistant cannot explain why it gave a particular answer, making it hard to resolve customer disputes.</t>
  </si>
  <si>
    <t xml:space="preserve">Model type chosen has low explainability and no explanation feature was added.</t>
  </si>
  <si>
    <t xml:space="preserve">Customer disputes cannot be resolved fairly; regulatory risk in explainability-sensitive sectors.</t>
  </si>
  <si>
    <t xml:space="preserve">Add simple explanation features (e.g. show source documents used) where feasible.</t>
  </si>
  <si>
    <t xml:space="preserve">2026-05-20</t>
  </si>
  <si>
    <t xml:space="preserve">EX-032</t>
  </si>
  <si>
    <t xml:space="preserve">Internal Audit</t>
  </si>
  <si>
    <t xml:space="preserve">9.2</t>
  </si>
  <si>
    <t xml:space="preserve">No internal audits have ever been performed on the company's AI systems or AI management practices.</t>
  </si>
  <si>
    <t xml:space="preserve">AI management system is new; audit programme not yet planned.</t>
  </si>
  <si>
    <t xml:space="preserve">Undetected gaps in AI governance; unprepared for external certification or regulatory review.</t>
  </si>
  <si>
    <t xml:space="preserve">Plan and schedule the first internal AI audit within the next two quarters.</t>
  </si>
  <si>
    <t xml:space="preserve">2026-06-01</t>
  </si>
  <si>
    <t xml:space="preserve">EX-033</t>
  </si>
  <si>
    <t xml:space="preserve">2026-02-21</t>
  </si>
  <si>
    <t xml:space="preserve">Management Review</t>
  </si>
  <si>
    <t xml:space="preserve">A.2.4</t>
  </si>
  <si>
    <t xml:space="preserve">Top management has never formally reviewed the performance and risks of the company's AI systems.</t>
  </si>
  <si>
    <t xml:space="preserve">No management review meeting scheduled for the AI management system.</t>
  </si>
  <si>
    <t xml:space="preserve">Leadership unaware of AI risk exposure; slow strategic response to emerging issues.</t>
  </si>
  <si>
    <t xml:space="preserve">AI risks discussed informally in general leadership meetings.</t>
  </si>
  <si>
    <t xml:space="preserve">Schedule a formal quarterly AI management review with top management.</t>
  </si>
  <si>
    <t xml:space="preserve">EX-034</t>
  </si>
  <si>
    <t xml:space="preserve">2026-02-22</t>
  </si>
  <si>
    <t xml:space="preserve">Insurance Claim Auto-Approval System</t>
  </si>
  <si>
    <t xml:space="preserve">8.4</t>
  </si>
  <si>
    <t xml:space="preserve">Automated claim approval system may be systematically approving/rejecting claims differently based on region or customer type.</t>
  </si>
  <si>
    <t xml:space="preserve">No fairness testing performed across customer segments before or after launch.</t>
  </si>
  <si>
    <t xml:space="preserve">Unfair treatment of certain customer groups; regulatory investigation; reputational damage.</t>
  </si>
  <si>
    <t xml:space="preserve">Basic approval rate reporting, not segmented by fairness criteria.</t>
  </si>
  <si>
    <t xml:space="preserve">Run fairness analysis across customer segments; adjust model or add manual review where needed.</t>
  </si>
  <si>
    <t xml:space="preserve">Head of Claims / AI Governance Lead</t>
  </si>
  <si>
    <t xml:space="preserve">2026-04-25</t>
  </si>
  <si>
    <t xml:space="preserve">EX-035</t>
  </si>
  <si>
    <t xml:space="preserve">2026-02-23</t>
  </si>
  <si>
    <t xml:space="preserve">Nonconformity &amp; Corrective Action</t>
  </si>
  <si>
    <t xml:space="preserve">When an AI system fails or breaks a rule, there is no formal process to record it and fix the root cause.</t>
  </si>
  <si>
    <t xml:space="preserve">Nonconformity and corrective action process not defined for AI-specific issues.</t>
  </si>
  <si>
    <t xml:space="preserve">Same problems repeat; no evidence of improvement for auditors or regulators.</t>
  </si>
  <si>
    <t xml:space="preserve">Issues are fixed informally without a formal record.</t>
  </si>
  <si>
    <t xml:space="preserve">Create a nonconformity log for AI issues with root cause analysis and corrective actions.</t>
  </si>
  <si>
    <t xml:space="preserve">EX-036</t>
  </si>
  <si>
    <t xml:space="preserve">2026-02-24</t>
  </si>
  <si>
    <t xml:space="preserve">Voice Assistant Product</t>
  </si>
  <si>
    <t xml:space="preserve">Voice assistant could be tricked by crafted audio inputs (adversarial attack) into giving harmful or wrong responses.</t>
  </si>
  <si>
    <t xml:space="preserve">No adversarial robustness testing performed on the voice model.</t>
  </si>
  <si>
    <t xml:space="preserve">Harmful or embarrassing outputs; safety risk if assistant controls physical devices; brand damage.</t>
  </si>
  <si>
    <t xml:space="preserve">Basic input format validation only.</t>
  </si>
  <si>
    <t xml:space="preserve">Conduct adversarial robustness testing; add output filtering for unsafe responses.</t>
  </si>
  <si>
    <t xml:space="preserve">Product Security Lead</t>
  </si>
  <si>
    <t xml:space="preserve">2026-05-30</t>
  </si>
  <si>
    <t xml:space="preserve">EX-037</t>
  </si>
  <si>
    <t xml:space="preserve">2026-02-25</t>
  </si>
  <si>
    <t xml:space="preserve">Change Management</t>
  </si>
  <si>
    <t xml:space="preserve">6.3</t>
  </si>
  <si>
    <t xml:space="preserve">Changes to AI models (e.g. retraining, new versions) go live without a planned change control process.</t>
  </si>
  <si>
    <t xml:space="preserve">No change management procedure adapted for AI model updates.</t>
  </si>
  <si>
    <t xml:space="preserve">Unexpected behaviour changes after updates; harder to trace which version caused an issue.</t>
  </si>
  <si>
    <t xml:space="preserve">Developers push updates directly with minimal review.</t>
  </si>
  <si>
    <t xml:space="preserve">Introduce a change control process for AI model updates, including testing and rollback plan.</t>
  </si>
  <si>
    <t xml:space="preserve">EX-038</t>
  </si>
  <si>
    <t xml:space="preserve">2026-02-26</t>
  </si>
  <si>
    <t xml:space="preserve">Public-facing Image Generation Feature</t>
  </si>
  <si>
    <t xml:space="preserve">A.9.4</t>
  </si>
  <si>
    <t xml:space="preserve">AI image generation feature could be misused to create misleading or inappropriate content, breaching intended use.</t>
  </si>
  <si>
    <t xml:space="preserve">No usage restrictions, filters, or monitoring for misuse of the feature.</t>
  </si>
  <si>
    <t xml:space="preserve">Legal liability, reputational damage, platform misuse by bad actors.</t>
  </si>
  <si>
    <t xml:space="preserve">Basic content filter provided by the underlying AI vendor.</t>
  </si>
  <si>
    <t xml:space="preserve">Add usage policy, stronger content filtering, and monitoring for misuse patterns.</t>
  </si>
  <si>
    <t xml:space="preserve">EX-039</t>
  </si>
  <si>
    <t xml:space="preserve">2026-02-27</t>
  </si>
  <si>
    <t xml:space="preserve">A.4.5</t>
  </si>
  <si>
    <t xml:space="preserve">Computing resources (servers, cloud capacity) for AI systems are not tracked, risking outages during high demand.</t>
  </si>
  <si>
    <t xml:space="preserve">No formal resource planning for AI system computing needs.</t>
  </si>
  <si>
    <t xml:space="preserve">System downtime during peak use; poor customer experience; emergency costs to scale up.</t>
  </si>
  <si>
    <t xml:space="preserve">Cloud auto-scaling enabled for some systems only.</t>
  </si>
  <si>
    <t xml:space="preserve">Document computing resource requirements per AI system; set up monitoring and alerts.</t>
  </si>
  <si>
    <t xml:space="preserve">2026-05-05</t>
  </si>
  <si>
    <t xml:space="preserve">EX-040</t>
  </si>
  <si>
    <t xml:space="preserve">Communication</t>
  </si>
  <si>
    <t xml:space="preserve">A.8.5</t>
  </si>
  <si>
    <t xml:space="preserve">No plan defines what AI-related information must be shared with regulators, customers, or partners, and when.</t>
  </si>
  <si>
    <t xml:space="preserve">Communication requirements for AI topics not documented.</t>
  </si>
  <si>
    <t xml:space="preserve">Missed regulatory deadlines; inconsistent messaging; loss of stakeholder trust.</t>
  </si>
  <si>
    <t xml:space="preserve">Ad-hoc communication handled case by case.</t>
  </si>
  <si>
    <t xml:space="preserve">Define what, when, how, and with whom the company communicates on AI topics.</t>
  </si>
  <si>
    <t xml:space="preserve">Risk Scoring Criteria</t>
  </si>
  <si>
    <t xml:space="preserve">Used in the Risk Register to calculate Risk Score = Likelihood x Impact</t>
  </si>
  <si>
    <t xml:space="preserve">Likelihood Scale</t>
  </si>
  <si>
    <t xml:space="preserve">Score</t>
  </si>
  <si>
    <t xml:space="preserve">Rating</t>
  </si>
  <si>
    <t xml:space="preserve">Description</t>
  </si>
  <si>
    <t xml:space="preserve">Rare</t>
  </si>
  <si>
    <t xml:space="preserve">May occur only in exceptional circumstances (e.g. once every few years).</t>
  </si>
  <si>
    <t xml:space="preserve">Unlikely</t>
  </si>
  <si>
    <t xml:space="preserve">Could occur at some point (e.g. once a year).</t>
  </si>
  <si>
    <t xml:space="preserve">Possible</t>
  </si>
  <si>
    <t xml:space="preserve">Might occur occasionally (e.g. every few months).</t>
  </si>
  <si>
    <t xml:space="preserve">Likely</t>
  </si>
  <si>
    <t xml:space="preserve">Will probably occur in most circumstances (e.g. monthly).</t>
  </si>
  <si>
    <t xml:space="preserve">Almost Certain</t>
  </si>
  <si>
    <t xml:space="preserve">Expected to occur frequently or is already occurring (e.g. weekly or continuously).</t>
  </si>
  <si>
    <t xml:space="preserve">Impact Scale</t>
  </si>
  <si>
    <t xml:space="preserve">Description (impact on people, business, legal or society)</t>
  </si>
  <si>
    <t xml:space="preserve">Negligible</t>
  </si>
  <si>
    <t xml:space="preserve">Minimal or no impact to individuals, business operations, or compliance. No harm to people or society.</t>
  </si>
  <si>
    <t xml:space="preserve">Minor</t>
  </si>
  <si>
    <t xml:space="preserve">Small, easily corrected impact. Limited effect on a few individuals or minor operational disruption.</t>
  </si>
  <si>
    <t xml:space="preserve">Moderate</t>
  </si>
  <si>
    <t xml:space="preserve">Noticeable impact on individuals or business processes; may require corrective action and management attention.</t>
  </si>
  <si>
    <t xml:space="preserve">Major</t>
  </si>
  <si>
    <t xml:space="preserve">Significant harm to individuals or groups, serious compliance/legal exposure, or major reputational/financial damage.</t>
  </si>
  <si>
    <t xml:space="preserve">Severe</t>
  </si>
  <si>
    <t xml:space="preserve">Widespread or irreversible harm to individuals, groups, or society; safety impact; severe legal, financial or reputational damage.</t>
  </si>
  <si>
    <t xml:space="preserve">Risk Level Bands (Risk Score = Likelihood x Impact)</t>
  </si>
  <si>
    <t xml:space="preserve">Score Range</t>
  </si>
  <si>
    <t xml:space="preserve">Risk Level</t>
  </si>
  <si>
    <t xml:space="preserve">What it means</t>
  </si>
  <si>
    <t xml:space="preserve">1 - 4</t>
  </si>
  <si>
    <t xml:space="preserve">Acceptable. Monitor through normal operations.</t>
  </si>
  <si>
    <t xml:space="preserve">5 - 9</t>
  </si>
  <si>
    <t xml:space="preserve">Manage with existing controls; assign an owner and monitor regularly.</t>
  </si>
  <si>
    <t xml:space="preserve">10 - 15</t>
  </si>
  <si>
    <t xml:space="preserve">Needs a risk treatment plan and management approval per Clause 6.1.3.</t>
  </si>
  <si>
    <t xml:space="preserve">16 - 25</t>
  </si>
  <si>
    <t xml:space="preserve">Critical</t>
  </si>
  <si>
    <t xml:space="preserve">Urgent action required; escalate to top management immediately (Clause 5.1).</t>
  </si>
  <si>
    <t xml:space="preserve">CIA Rating (Confidentiality, Integrity, Availability)</t>
  </si>
  <si>
    <t xml:space="preserve">Used in the Risk Register to show which security property of the AI system a risk affects most, in line with information security good practice (see ISO/IEC 27001).</t>
  </si>
  <si>
    <t xml:space="preserve">CIA Element</t>
  </si>
  <si>
    <t xml:space="preserve">Example</t>
  </si>
  <si>
    <t xml:space="preserve">Confidentiality (C)</t>
  </si>
  <si>
    <t xml:space="preserve">Risk of sensitive data (personal data, business data, model details) being seen or accessed by people who should not see it.</t>
  </si>
  <si>
    <t xml:space="preserve">Training data leak exposes customer personal information.</t>
  </si>
  <si>
    <t xml:space="preserve">Integrity (I)</t>
  </si>
  <si>
    <t xml:space="preserve">Risk of AI system data or outputs being changed, corrupted, or made inaccurate - by accident or on purpose.</t>
  </si>
  <si>
    <t xml:space="preserve">Attacker feeds bad data to the model so it makes wrong decisions (data poisoning).</t>
  </si>
  <si>
    <t xml:space="preserve">Availability (A)</t>
  </si>
  <si>
    <t xml:space="preserve">Risk of the AI system or its data becoming unavailable or unusable when needed.</t>
  </si>
  <si>
    <t xml:space="preserve">AI service goes down during peak business hours due to a server overload.</t>
  </si>
  <si>
    <t xml:space="preserve">Rating Scale</t>
  </si>
  <si>
    <t xml:space="preserve">Meaning</t>
  </si>
  <si>
    <t xml:space="preserve">Serious damage if this CIA property is affected (e.g. major data breach, complete outage, corrupted decisions at scale).</t>
  </si>
  <si>
    <t xml:space="preserve">Noticeable but manageable damage (e.g. limited data exposure, partial slowdown, some incorrect outputs).</t>
  </si>
  <si>
    <t xml:space="preserve">Little to no meaningful damage if this CIA property is affected.</t>
  </si>
  <si>
    <t xml:space="preserve">ISO/IEC 42001 Annex A — Control Reference Map</t>
  </si>
  <si>
    <t xml:space="preserve">Use this list to pick the correct Annex A control reference in the Risk Register.</t>
  </si>
  <si>
    <t xml:space="preserve">Annex A Ref</t>
  </si>
  <si>
    <t xml:space="preserve">Topic</t>
  </si>
  <si>
    <t xml:space="preserve">Covers (typical risk areas)</t>
  </si>
  <si>
    <t xml:space="preserve">A.2</t>
  </si>
  <si>
    <t xml:space="preserve">Policies related to AI</t>
  </si>
  <si>
    <t xml:space="preserve">AI policy, alignment with other policies, policy review</t>
  </si>
  <si>
    <t xml:space="preserve">A.3</t>
  </si>
  <si>
    <t xml:space="preserve">Internal organization</t>
  </si>
  <si>
    <t xml:space="preserve">AI roles &amp; responsibilities, reporting of concerns</t>
  </si>
  <si>
    <t xml:space="preserve">A.4</t>
  </si>
  <si>
    <t xml:space="preserve">Resources for AI systems</t>
  </si>
  <si>
    <t xml:space="preserve">Data, tooling, system/computing, and human resources</t>
  </si>
  <si>
    <t xml:space="preserve">A.5</t>
  </si>
  <si>
    <t xml:space="preserve">Assessing impacts of AI systems</t>
  </si>
  <si>
    <t xml:space="preserve">AI system impact assessment process and documentation; impact on individuals, groups and societies</t>
  </si>
  <si>
    <t xml:space="preserve">A.6</t>
  </si>
  <si>
    <t xml:space="preserve">AI system life cycle</t>
  </si>
  <si>
    <t xml:space="preserve">Objectives &amp; processes for responsible development; requirements, design, verification, deployment, operation, monitoring, technical documentation, event logs</t>
  </si>
  <si>
    <t xml:space="preserve">A.7</t>
  </si>
  <si>
    <t xml:space="preserve">Data for AI systems</t>
  </si>
  <si>
    <t xml:space="preserve">Data management, acquisition, data quality, data provenance, data preparation</t>
  </si>
  <si>
    <t xml:space="preserve">A.8</t>
  </si>
  <si>
    <t xml:space="preserve">Information for interested parties</t>
  </si>
  <si>
    <t xml:space="preserve">User documentation, external reporting, incident communication, information for interested parties</t>
  </si>
  <si>
    <t xml:space="preserve">A.9</t>
  </si>
  <si>
    <t xml:space="preserve">Use of AI systems</t>
  </si>
  <si>
    <t xml:space="preserve">Processes and objectives for responsible use; intended use of the AI system</t>
  </si>
  <si>
    <t xml:space="preserve">A.10</t>
  </si>
  <si>
    <t xml:space="preserve">Third-party and customer relationships</t>
  </si>
  <si>
    <t xml:space="preserve">Allocating responsibilities, suppliers, customers</t>
  </si>
  <si>
    <t xml:space="preserve">ISO/IEC 42001 — Main Clause Reference (Clause 4-10)</t>
  </si>
  <si>
    <t xml:space="preserve">Use this list to pick the correct clause reference in the Risk Register.</t>
  </si>
  <si>
    <t xml:space="preserve">Clause</t>
  </si>
  <si>
    <t xml:space="preserve">Title</t>
  </si>
  <si>
    <t xml:space="preserve">Understanding the organization and its context</t>
  </si>
  <si>
    <t xml:space="preserve">4.2</t>
  </si>
  <si>
    <t xml:space="preserve">Understanding needs and expectations of interested parties</t>
  </si>
  <si>
    <t xml:space="preserve">4.3</t>
  </si>
  <si>
    <t xml:space="preserve">Determining the scope of the AI management system</t>
  </si>
  <si>
    <t xml:space="preserve">5.1</t>
  </si>
  <si>
    <t xml:space="preserve">Leadership and commitment</t>
  </si>
  <si>
    <t xml:space="preserve">AI policy</t>
  </si>
  <si>
    <t xml:space="preserve">Roles, responsibilities and authorities</t>
  </si>
  <si>
    <t xml:space="preserve">AI risk assessment</t>
  </si>
  <si>
    <t xml:space="preserve">AI risk treatment</t>
  </si>
  <si>
    <t xml:space="preserve">AI system impact assessment</t>
  </si>
  <si>
    <t xml:space="preserve">AI objectives and planning</t>
  </si>
  <si>
    <t xml:space="preserve">Resources</t>
  </si>
  <si>
    <t xml:space="preserve">Documented information</t>
  </si>
  <si>
    <t xml:space="preserve">8.1</t>
  </si>
  <si>
    <t xml:space="preserve">Operational planning and control</t>
  </si>
  <si>
    <t xml:space="preserve">AI risk assessment (operation)</t>
  </si>
  <si>
    <t xml:space="preserve">8.3</t>
  </si>
  <si>
    <t xml:space="preserve">AI risk treatment (operation)</t>
  </si>
  <si>
    <t xml:space="preserve">AI system impact assessment (operation)</t>
  </si>
  <si>
    <t xml:space="preserve">9.1</t>
  </si>
  <si>
    <t xml:space="preserve">Monitoring, measurement, analysis and evaluation</t>
  </si>
  <si>
    <t xml:space="preserve">Internal audit</t>
  </si>
  <si>
    <t xml:space="preserve">Management review</t>
  </si>
  <si>
    <t xml:space="preserve">Nonconformity and corrective action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</si>
</sst>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b val="true"/>
      <sz val="13"/>
      <color rgb="FF2E539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4B6B6"/>
      </patternFill>
    </fill>
    <fill>
      <patternFill patternType="solid">
        <fgColor rgb="FFF4B6B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2" customFormat="false" ht="24" hidden="false" customHeight="true" outlineLevel="0" collapsed="false">
      <c r="B2" s="2" t="s">
        <v>0</v>
      </c>
    </row>
    <row r="3" customFormat="false" ht="15.75" hidden="false" customHeight="true" outlineLevel="0" collapsed="false">
      <c r="B3" s="3" t="s">
        <v>1</v>
      </c>
    </row>
    <row r="4" customFormat="false" ht="27.75" hidden="false" customHeight="true" outlineLevel="0" collapsed="false">
      <c r="B4" s="4" t="s">
        <v>2</v>
      </c>
    </row>
    <row r="5" customFormat="false" ht="15" hidden="false" customHeight="true" outlineLevel="0" collapsed="false"/>
    <row r="6" customFormat="false" ht="15" hidden="false" customHeight="true" outlineLevel="0" collapsed="false">
      <c r="B6" s="5"/>
    </row>
    <row r="7" customFormat="false" ht="27.75" hidden="false" customHeight="true" outlineLevel="0" collapsed="false">
      <c r="B7" s="5" t="s">
        <v>3</v>
      </c>
    </row>
    <row r="8" customFormat="false" ht="15" hidden="false" customHeight="true" outlineLevel="0" collapsed="false">
      <c r="B8" s="5" t="s">
        <v>4</v>
      </c>
    </row>
    <row r="9" customFormat="false" ht="15" hidden="false" customHeight="true" outlineLevel="0" collapsed="false">
      <c r="B9" s="5"/>
    </row>
    <row r="10" customFormat="false" ht="15" hidden="false" customHeight="true" outlineLevel="0" collapsed="false">
      <c r="B10" s="6" t="s">
        <v>5</v>
      </c>
    </row>
    <row r="11" customFormat="false" ht="27.75" hidden="false" customHeight="true" outlineLevel="0" collapsed="false">
      <c r="B11" s="5" t="s">
        <v>6</v>
      </c>
    </row>
    <row r="12" customFormat="false" ht="27.75" hidden="false" customHeight="true" outlineLevel="0" collapsed="false">
      <c r="B12" s="5" t="s">
        <v>7</v>
      </c>
    </row>
    <row r="13" customFormat="false" ht="27.75" hidden="false" customHeight="true" outlineLevel="0" collapsed="false">
      <c r="B13" s="5" t="s">
        <v>8</v>
      </c>
    </row>
    <row r="14" customFormat="false" ht="27.75" hidden="false" customHeight="true" outlineLevel="0" collapsed="false">
      <c r="B14" s="5" t="s">
        <v>9</v>
      </c>
    </row>
    <row r="15" customFormat="false" ht="27.75" hidden="false" customHeight="true" outlineLevel="0" collapsed="false">
      <c r="B15" s="5" t="s">
        <v>10</v>
      </c>
    </row>
    <row r="16" customFormat="false" ht="27.75" hidden="false" customHeight="true" outlineLevel="0" collapsed="false">
      <c r="B16" s="5" t="s">
        <v>11</v>
      </c>
    </row>
    <row r="17" customFormat="false" ht="27.75" hidden="false" customHeight="true" outlineLevel="0" collapsed="false">
      <c r="B17" s="5" t="s">
        <v>12</v>
      </c>
    </row>
    <row r="18" customFormat="false" ht="15" hidden="false" customHeight="true" outlineLevel="0" collapsed="false">
      <c r="B18" s="5" t="s">
        <v>13</v>
      </c>
    </row>
    <row r="19" customFormat="false" ht="15" hidden="false" customHeight="true" outlineLevel="0" collapsed="false">
      <c r="B19" s="5"/>
    </row>
    <row r="20" customFormat="false" ht="15" hidden="false" customHeight="true" outlineLevel="0" collapsed="false">
      <c r="B20" s="6" t="s">
        <v>14</v>
      </c>
    </row>
    <row r="21" customFormat="false" ht="15" hidden="false" customHeight="true" outlineLevel="0" collapsed="false">
      <c r="B21" s="5" t="s">
        <v>15</v>
      </c>
    </row>
    <row r="22" customFormat="false" ht="15" hidden="false" customHeight="true" outlineLevel="0" collapsed="false">
      <c r="B22" s="5" t="s">
        <v>16</v>
      </c>
    </row>
    <row r="23" customFormat="false" ht="27.75" hidden="false" customHeight="true" outlineLevel="0" collapsed="false">
      <c r="B23" s="5" t="s">
        <v>17</v>
      </c>
    </row>
    <row r="24" customFormat="false" ht="27.75" hidden="false" customHeight="true" outlineLevel="0" collapsed="false">
      <c r="B24" s="5" t="s">
        <v>18</v>
      </c>
    </row>
    <row r="25" customFormat="false" ht="15" hidden="false" customHeight="true" outlineLevel="0" collapsed="false">
      <c r="B25" s="5" t="s">
        <v>19</v>
      </c>
    </row>
    <row r="26" customFormat="false" ht="15" hidden="false" customHeight="true" outlineLevel="0" collapsed="false">
      <c r="B26" s="5"/>
    </row>
    <row r="27" customFormat="false" ht="27.75" hidden="false" customHeight="true" outlineLevel="0" collapsed="false">
      <c r="B27" s="6" t="s">
        <v>20</v>
      </c>
    </row>
    <row r="28" customFormat="false" ht="27.75" hidden="false" customHeight="true" outlineLevel="0" collapsed="false">
      <c r="B28" s="5" t="s">
        <v>21</v>
      </c>
    </row>
    <row r="29" customFormat="false" ht="23.25" hidden="false" customHeight="true" outlineLevel="0" collapsed="false">
      <c r="B29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24"/>
    <col collapsed="false" customWidth="true" hidden="false" outlineLevel="0" max="12" min="10" style="1" width="12"/>
    <col collapsed="false" customWidth="true" hidden="false" outlineLevel="0" max="15" min="13" style="1" width="9"/>
    <col collapsed="false" customWidth="true" hidden="false" outlineLevel="0" max="16" min="16" style="1" width="11"/>
    <col collapsed="false" customWidth="true" hidden="false" outlineLevel="0" max="17" min="17" style="1" width="24"/>
    <col collapsed="false" customWidth="true" hidden="false" outlineLevel="0" max="18" min="18" style="1" width="13"/>
    <col collapsed="false" customWidth="true" hidden="false" outlineLevel="0" max="19" min="19" style="1" width="28"/>
    <col collapsed="false" customWidth="true" hidden="false" outlineLevel="0" max="20" min="20" style="1" width="14"/>
    <col collapsed="false" customWidth="true" hidden="false" outlineLevel="0" max="21" min="21" style="1" width="12"/>
    <col collapsed="false" customWidth="true" hidden="false" outlineLevel="0" max="24" min="22" style="1" width="9"/>
    <col collapsed="false" customWidth="true" hidden="false" outlineLevel="0" max="25" min="25" style="1" width="11"/>
    <col collapsed="false" customWidth="true" hidden="false" outlineLevel="0" max="28" min="26" style="1" width="12"/>
    <col collapsed="false" customWidth="true" hidden="false" outlineLevel="0" max="29" min="29" style="1" width="22"/>
  </cols>
  <sheetData>
    <row r="1" customFormat="false" ht="24" hidden="false" customHeight="true" outlineLevel="0" collapsed="false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8" hidden="false" customHeight="true" outlineLevel="0" collapsed="false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customFormat="false" ht="30" hidden="false" customHeight="true" outlineLevel="0" collapsed="false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31</v>
      </c>
      <c r="H3" s="9" t="s">
        <v>32</v>
      </c>
      <c r="I3" s="9" t="s">
        <v>33</v>
      </c>
      <c r="J3" s="9" t="s">
        <v>34</v>
      </c>
      <c r="K3" s="9" t="s">
        <v>35</v>
      </c>
      <c r="L3" s="9" t="s">
        <v>36</v>
      </c>
      <c r="M3" s="9" t="s">
        <v>37</v>
      </c>
      <c r="N3" s="9" t="s">
        <v>38</v>
      </c>
      <c r="O3" s="9" t="s">
        <v>39</v>
      </c>
      <c r="P3" s="9" t="s">
        <v>40</v>
      </c>
      <c r="Q3" s="9" t="s">
        <v>41</v>
      </c>
      <c r="R3" s="9" t="s">
        <v>42</v>
      </c>
      <c r="S3" s="9" t="s">
        <v>43</v>
      </c>
      <c r="T3" s="9" t="s">
        <v>44</v>
      </c>
      <c r="U3" s="9" t="s">
        <v>45</v>
      </c>
      <c r="V3" s="9" t="s">
        <v>46</v>
      </c>
      <c r="W3" s="9" t="s">
        <v>47</v>
      </c>
      <c r="X3" s="9" t="s">
        <v>48</v>
      </c>
      <c r="Y3" s="9" t="s">
        <v>49</v>
      </c>
      <c r="Z3" s="9" t="s">
        <v>50</v>
      </c>
      <c r="AA3" s="9" t="s">
        <v>51</v>
      </c>
      <c r="AB3" s="9" t="s">
        <v>52</v>
      </c>
      <c r="AC3" s="9" t="s">
        <v>53</v>
      </c>
    </row>
    <row r="4" customFormat="false" ht="42" hidden="false" customHeight="true" outlineLevel="0" collapsed="false">
      <c r="A4" s="10" t="s">
        <v>54</v>
      </c>
      <c r="B4" s="10" t="s">
        <v>55</v>
      </c>
      <c r="C4" s="10" t="s">
        <v>56</v>
      </c>
      <c r="D4" s="10" t="s">
        <v>57</v>
      </c>
      <c r="E4" s="10" t="s">
        <v>58</v>
      </c>
      <c r="F4" s="10" t="s">
        <v>59</v>
      </c>
      <c r="G4" s="10" t="s">
        <v>60</v>
      </c>
      <c r="H4" s="10" t="s">
        <v>61</v>
      </c>
      <c r="I4" s="10" t="s">
        <v>62</v>
      </c>
      <c r="J4" s="11" t="s">
        <v>63</v>
      </c>
      <c r="K4" s="11" t="s">
        <v>64</v>
      </c>
      <c r="L4" s="11" t="s">
        <v>63</v>
      </c>
      <c r="M4" s="11" t="n">
        <v>3</v>
      </c>
      <c r="N4" s="11" t="n">
        <v>3</v>
      </c>
      <c r="O4" s="12" t="n">
        <f aca="false">IF(OR(M4="",N4=""),"",M4*N4)</f>
        <v>9</v>
      </c>
      <c r="P4" s="13" t="str">
        <f aca="false">IF(O4="","",IF(O4&lt;=4,"Low",IF(O4&lt;=9,"Medium",IF(O4&lt;=15,"High","Critical"))))</f>
        <v>Medium</v>
      </c>
      <c r="Q4" s="10" t="s">
        <v>65</v>
      </c>
      <c r="R4" s="10" t="s">
        <v>66</v>
      </c>
      <c r="S4" s="10" t="s">
        <v>67</v>
      </c>
      <c r="T4" s="10" t="s">
        <v>68</v>
      </c>
      <c r="U4" s="10" t="s">
        <v>69</v>
      </c>
      <c r="V4" s="11" t="n">
        <v>2</v>
      </c>
      <c r="W4" s="11" t="n">
        <v>3</v>
      </c>
      <c r="X4" s="12" t="n">
        <f aca="false">IF(OR(V4="",W4=""),"",V4*W4)</f>
        <v>6</v>
      </c>
      <c r="Y4" s="13" t="str">
        <f aca="false">IF(X4="","",IF(X4&lt;=4,"Low",IF(X4&lt;=9,"Medium",IF(X4&lt;=15,"High","Critical"))))</f>
        <v>Medium</v>
      </c>
      <c r="Z4" s="10" t="s">
        <v>70</v>
      </c>
      <c r="AA4" s="10" t="s">
        <v>55</v>
      </c>
      <c r="AB4" s="10" t="s">
        <v>71</v>
      </c>
      <c r="AC4" s="10" t="s">
        <v>72</v>
      </c>
    </row>
    <row r="5" customFormat="false" ht="42" hidden="false" customHeight="true" outlineLevel="0" collapsed="false">
      <c r="A5" s="10" t="s">
        <v>73</v>
      </c>
      <c r="B5" s="10" t="s">
        <v>74</v>
      </c>
      <c r="C5" s="10" t="s">
        <v>75</v>
      </c>
      <c r="D5" s="10" t="s">
        <v>76</v>
      </c>
      <c r="E5" s="10" t="s">
        <v>77</v>
      </c>
      <c r="F5" s="10" t="s">
        <v>78</v>
      </c>
      <c r="G5" s="10" t="s">
        <v>79</v>
      </c>
      <c r="H5" s="10" t="s">
        <v>80</v>
      </c>
      <c r="I5" s="10" t="s">
        <v>81</v>
      </c>
      <c r="J5" s="11" t="s">
        <v>64</v>
      </c>
      <c r="K5" s="11" t="s">
        <v>82</v>
      </c>
      <c r="L5" s="11" t="s">
        <v>63</v>
      </c>
      <c r="M5" s="11" t="n">
        <v>3</v>
      </c>
      <c r="N5" s="11" t="n">
        <v>5</v>
      </c>
      <c r="O5" s="12" t="n">
        <f aca="false">IF(OR(M5="",N5=""),"",M5*N5)</f>
        <v>15</v>
      </c>
      <c r="P5" s="13" t="str">
        <f aca="false">IF(O5="","",IF(O5&lt;=4,"Low",IF(O5&lt;=9,"Medium",IF(O5&lt;=15,"High","Critical"))))</f>
        <v>High</v>
      </c>
      <c r="Q5" s="10" t="s">
        <v>83</v>
      </c>
      <c r="R5" s="10" t="s">
        <v>66</v>
      </c>
      <c r="S5" s="10" t="s">
        <v>84</v>
      </c>
      <c r="T5" s="10" t="s">
        <v>85</v>
      </c>
      <c r="U5" s="10" t="s">
        <v>86</v>
      </c>
      <c r="V5" s="11" t="n">
        <v>2</v>
      </c>
      <c r="W5" s="11" t="n">
        <v>4</v>
      </c>
      <c r="X5" s="12" t="n">
        <f aca="false">IF(OR(V5="",W5=""),"",V5*W5)</f>
        <v>8</v>
      </c>
      <c r="Y5" s="13" t="str">
        <f aca="false">IF(X5="","",IF(X5&lt;=4,"Low",IF(X5&lt;=9,"Medium",IF(X5&lt;=15,"High","Critical"))))</f>
        <v>Medium</v>
      </c>
      <c r="Z5" s="10" t="s">
        <v>87</v>
      </c>
      <c r="AA5" s="10" t="s">
        <v>74</v>
      </c>
      <c r="AB5" s="10" t="s">
        <v>88</v>
      </c>
      <c r="AC5" s="10" t="s">
        <v>89</v>
      </c>
    </row>
    <row r="6" customFormat="false" ht="42" hidden="false" customHeight="true" outlineLevel="0" collapsed="false">
      <c r="A6" s="10" t="s">
        <v>90</v>
      </c>
      <c r="B6" s="10" t="s">
        <v>91</v>
      </c>
      <c r="C6" s="10" t="s">
        <v>92</v>
      </c>
      <c r="D6" s="10" t="s">
        <v>93</v>
      </c>
      <c r="E6" s="10" t="s">
        <v>94</v>
      </c>
      <c r="F6" s="10" t="s">
        <v>95</v>
      </c>
      <c r="G6" s="10" t="s">
        <v>96</v>
      </c>
      <c r="H6" s="10" t="s">
        <v>97</v>
      </c>
      <c r="I6" s="10" t="s">
        <v>98</v>
      </c>
      <c r="J6" s="11" t="s">
        <v>64</v>
      </c>
      <c r="K6" s="11" t="s">
        <v>82</v>
      </c>
      <c r="L6" s="11" t="s">
        <v>64</v>
      </c>
      <c r="M6" s="11" t="n">
        <v>4</v>
      </c>
      <c r="N6" s="11" t="n">
        <v>4</v>
      </c>
      <c r="O6" s="12" t="n">
        <f aca="false">IF(OR(M6="",N6=""),"",M6*N6)</f>
        <v>16</v>
      </c>
      <c r="P6" s="13" t="str">
        <f aca="false">IF(O6="","",IF(O6&lt;=4,"Low",IF(O6&lt;=9,"Medium",IF(O6&lt;=15,"High","Critical"))))</f>
        <v>Critical</v>
      </c>
      <c r="Q6" s="10" t="s">
        <v>99</v>
      </c>
      <c r="R6" s="10" t="s">
        <v>66</v>
      </c>
      <c r="S6" s="10" t="s">
        <v>100</v>
      </c>
      <c r="T6" s="10" t="s">
        <v>101</v>
      </c>
      <c r="U6" s="10" t="s">
        <v>102</v>
      </c>
      <c r="V6" s="11" t="n">
        <v>2</v>
      </c>
      <c r="W6" s="11" t="n">
        <v>4</v>
      </c>
      <c r="X6" s="12" t="n">
        <f aca="false">IF(OR(V6="",W6=""),"",V6*W6)</f>
        <v>8</v>
      </c>
      <c r="Y6" s="13" t="str">
        <f aca="false">IF(X6="","",IF(X6&lt;=4,"Low",IF(X6&lt;=9,"Medium",IF(X6&lt;=15,"High","Critical"))))</f>
        <v>Medium</v>
      </c>
      <c r="Z6" s="10" t="s">
        <v>70</v>
      </c>
      <c r="AA6" s="10" t="s">
        <v>91</v>
      </c>
      <c r="AB6" s="10" t="s">
        <v>103</v>
      </c>
      <c r="AC6" s="10"/>
    </row>
    <row r="7" customFormat="false" ht="42" hidden="false" customHeight="true" outlineLevel="0" collapsed="false">
      <c r="A7" s="10" t="s">
        <v>104</v>
      </c>
      <c r="B7" s="10" t="s">
        <v>105</v>
      </c>
      <c r="C7" s="10" t="s">
        <v>106</v>
      </c>
      <c r="D7" s="10" t="s">
        <v>107</v>
      </c>
      <c r="E7" s="10" t="s">
        <v>58</v>
      </c>
      <c r="F7" s="10" t="s">
        <v>108</v>
      </c>
      <c r="G7" s="10" t="s">
        <v>109</v>
      </c>
      <c r="H7" s="10" t="s">
        <v>110</v>
      </c>
      <c r="I7" s="10" t="s">
        <v>111</v>
      </c>
      <c r="J7" s="11" t="s">
        <v>82</v>
      </c>
      <c r="K7" s="11" t="s">
        <v>82</v>
      </c>
      <c r="L7" s="11" t="s">
        <v>64</v>
      </c>
      <c r="M7" s="11" t="n">
        <v>2</v>
      </c>
      <c r="N7" s="11" t="n">
        <v>5</v>
      </c>
      <c r="O7" s="12" t="n">
        <f aca="false">IF(OR(M7="",N7=""),"",M7*N7)</f>
        <v>10</v>
      </c>
      <c r="P7" s="13" t="str">
        <f aca="false">IF(O7="","",IF(O7&lt;=4,"Low",IF(O7&lt;=9,"Medium",IF(O7&lt;=15,"High","Critical"))))</f>
        <v>High</v>
      </c>
      <c r="Q7" s="10" t="s">
        <v>112</v>
      </c>
      <c r="R7" s="10" t="s">
        <v>66</v>
      </c>
      <c r="S7" s="10" t="s">
        <v>113</v>
      </c>
      <c r="T7" s="10" t="s">
        <v>114</v>
      </c>
      <c r="U7" s="10" t="s">
        <v>115</v>
      </c>
      <c r="V7" s="11" t="n">
        <v>2</v>
      </c>
      <c r="W7" s="11" t="n">
        <v>4</v>
      </c>
      <c r="X7" s="12" t="n">
        <f aca="false">IF(OR(V7="",W7=""),"",V7*W7)</f>
        <v>8</v>
      </c>
      <c r="Y7" s="13" t="str">
        <f aca="false">IF(X7="","",IF(X7&lt;=4,"Low",IF(X7&lt;=9,"Medium",IF(X7&lt;=15,"High","Critical"))))</f>
        <v>Medium</v>
      </c>
      <c r="Z7" s="10" t="s">
        <v>87</v>
      </c>
      <c r="AA7" s="10" t="s">
        <v>105</v>
      </c>
      <c r="AB7" s="10" t="s">
        <v>115</v>
      </c>
      <c r="AC7" s="10" t="s">
        <v>116</v>
      </c>
    </row>
    <row r="8" customFormat="false" ht="42" hidden="false" customHeight="true" outlineLevel="0" collapsed="false">
      <c r="A8" s="10" t="s">
        <v>117</v>
      </c>
      <c r="B8" s="10" t="s">
        <v>118</v>
      </c>
      <c r="C8" s="10" t="s">
        <v>119</v>
      </c>
      <c r="D8" s="10" t="s">
        <v>120</v>
      </c>
      <c r="E8" s="10" t="s">
        <v>121</v>
      </c>
      <c r="F8" s="10" t="s">
        <v>122</v>
      </c>
      <c r="G8" s="10" t="s">
        <v>123</v>
      </c>
      <c r="H8" s="10" t="s">
        <v>124</v>
      </c>
      <c r="I8" s="10" t="s">
        <v>125</v>
      </c>
      <c r="J8" s="11" t="s">
        <v>63</v>
      </c>
      <c r="K8" s="11" t="s">
        <v>63</v>
      </c>
      <c r="L8" s="11" t="s">
        <v>63</v>
      </c>
      <c r="M8" s="11" t="n">
        <v>3</v>
      </c>
      <c r="N8" s="11" t="n">
        <v>3</v>
      </c>
      <c r="O8" s="12" t="n">
        <f aca="false">IF(OR(M8="",N8=""),"",M8*N8)</f>
        <v>9</v>
      </c>
      <c r="P8" s="13" t="str">
        <f aca="false">IF(O8="","",IF(O8&lt;=4,"Low",IF(O8&lt;=9,"Medium",IF(O8&lt;=15,"High","Critical"))))</f>
        <v>Medium</v>
      </c>
      <c r="Q8" s="10" t="s">
        <v>83</v>
      </c>
      <c r="R8" s="10" t="s">
        <v>66</v>
      </c>
      <c r="S8" s="10" t="s">
        <v>126</v>
      </c>
      <c r="T8" s="10" t="s">
        <v>127</v>
      </c>
      <c r="U8" s="10" t="s">
        <v>128</v>
      </c>
      <c r="V8" s="11" t="n">
        <v>1</v>
      </c>
      <c r="W8" s="11" t="n">
        <v>2</v>
      </c>
      <c r="X8" s="12" t="n">
        <f aca="false">IF(OR(V8="",W8=""),"",V8*W8)</f>
        <v>2</v>
      </c>
      <c r="Y8" s="13" t="str">
        <f aca="false">IF(X8="","",IF(X8&lt;=4,"Low",IF(X8&lt;=9,"Medium",IF(X8&lt;=15,"High","Critical"))))</f>
        <v>Low</v>
      </c>
      <c r="Z8" s="10" t="s">
        <v>87</v>
      </c>
      <c r="AA8" s="10" t="s">
        <v>118</v>
      </c>
      <c r="AB8" s="10" t="s">
        <v>128</v>
      </c>
      <c r="AC8" s="10"/>
    </row>
    <row r="9" customFormat="false" ht="42" hidden="false" customHeight="true" outlineLevel="0" collapsed="false">
      <c r="A9" s="10" t="s">
        <v>129</v>
      </c>
      <c r="B9" s="10" t="s">
        <v>130</v>
      </c>
      <c r="C9" s="10" t="s">
        <v>131</v>
      </c>
      <c r="D9" s="10" t="s">
        <v>132</v>
      </c>
      <c r="E9" s="10" t="s">
        <v>133</v>
      </c>
      <c r="F9" s="10" t="s">
        <v>134</v>
      </c>
      <c r="G9" s="10" t="s">
        <v>135</v>
      </c>
      <c r="H9" s="10" t="s">
        <v>136</v>
      </c>
      <c r="I9" s="10" t="s">
        <v>137</v>
      </c>
      <c r="J9" s="11" t="s">
        <v>64</v>
      </c>
      <c r="K9" s="11" t="s">
        <v>64</v>
      </c>
      <c r="L9" s="11" t="s">
        <v>82</v>
      </c>
      <c r="M9" s="11" t="n">
        <v>2</v>
      </c>
      <c r="N9" s="11" t="n">
        <v>3</v>
      </c>
      <c r="O9" s="12" t="n">
        <f aca="false">IF(OR(M9="",N9=""),"",M9*N9)</f>
        <v>6</v>
      </c>
      <c r="P9" s="13" t="str">
        <f aca="false">IF(O9="","",IF(O9&lt;=4,"Low",IF(O9&lt;=9,"Medium",IF(O9&lt;=15,"High","Critical"))))</f>
        <v>Medium</v>
      </c>
      <c r="Q9" s="10" t="s">
        <v>138</v>
      </c>
      <c r="R9" s="10" t="s">
        <v>139</v>
      </c>
      <c r="S9" s="10" t="s">
        <v>140</v>
      </c>
      <c r="T9" s="10" t="s">
        <v>141</v>
      </c>
      <c r="U9" s="10" t="s">
        <v>142</v>
      </c>
      <c r="V9" s="11" t="n">
        <v>1</v>
      </c>
      <c r="W9" s="11" t="n">
        <v>2</v>
      </c>
      <c r="X9" s="12" t="n">
        <f aca="false">IF(OR(V9="",W9=""),"",V9*W9)</f>
        <v>2</v>
      </c>
      <c r="Y9" s="13" t="str">
        <f aca="false">IF(X9="","",IF(X9&lt;=4,"Low",IF(X9&lt;=9,"Medium",IF(X9&lt;=15,"High","Critical"))))</f>
        <v>Low</v>
      </c>
      <c r="Z9" s="10" t="s">
        <v>87</v>
      </c>
      <c r="AA9" s="10" t="s">
        <v>130</v>
      </c>
      <c r="AB9" s="10" t="s">
        <v>142</v>
      </c>
      <c r="AC9" s="10"/>
    </row>
    <row r="10" customFormat="false" ht="42" hidden="false" customHeight="true" outlineLevel="0" collapsed="false">
      <c r="A10" s="10" t="s">
        <v>143</v>
      </c>
      <c r="B10" s="10" t="s">
        <v>144</v>
      </c>
      <c r="C10" s="10" t="s">
        <v>145</v>
      </c>
      <c r="D10" s="10" t="s">
        <v>146</v>
      </c>
      <c r="E10" s="10" t="s">
        <v>147</v>
      </c>
      <c r="F10" s="10" t="s">
        <v>148</v>
      </c>
      <c r="G10" s="10" t="s">
        <v>149</v>
      </c>
      <c r="H10" s="10" t="s">
        <v>150</v>
      </c>
      <c r="I10" s="10" t="s">
        <v>151</v>
      </c>
      <c r="J10" s="11" t="s">
        <v>63</v>
      </c>
      <c r="K10" s="11" t="s">
        <v>64</v>
      </c>
      <c r="L10" s="11" t="s">
        <v>63</v>
      </c>
      <c r="M10" s="11" t="n">
        <v>3</v>
      </c>
      <c r="N10" s="11" t="n">
        <v>4</v>
      </c>
      <c r="O10" s="12" t="n">
        <f aca="false">IF(OR(M10="",N10=""),"",M10*N10)</f>
        <v>12</v>
      </c>
      <c r="P10" s="13" t="str">
        <f aca="false">IF(O10="","",IF(O10&lt;=4,"Low",IF(O10&lt;=9,"Medium",IF(O10&lt;=15,"High","Critical"))))</f>
        <v>High</v>
      </c>
      <c r="Q10" s="10" t="s">
        <v>152</v>
      </c>
      <c r="R10" s="10" t="s">
        <v>66</v>
      </c>
      <c r="S10" s="10" t="s">
        <v>153</v>
      </c>
      <c r="T10" s="10" t="s">
        <v>154</v>
      </c>
      <c r="U10" s="10" t="s">
        <v>155</v>
      </c>
      <c r="V10" s="11" t="n">
        <v>1</v>
      </c>
      <c r="W10" s="11" t="n">
        <v>3</v>
      </c>
      <c r="X10" s="12" t="n">
        <f aca="false">IF(OR(V10="",W10=""),"",V10*W10)</f>
        <v>3</v>
      </c>
      <c r="Y10" s="13" t="str">
        <f aca="false">IF(X10="","",IF(X10&lt;=4,"Low",IF(X10&lt;=9,"Medium",IF(X10&lt;=15,"High","Critical"))))</f>
        <v>Low</v>
      </c>
      <c r="Z10" s="10" t="s">
        <v>87</v>
      </c>
      <c r="AA10" s="10" t="s">
        <v>144</v>
      </c>
      <c r="AB10" s="10" t="s">
        <v>155</v>
      </c>
      <c r="AC10" s="10"/>
    </row>
    <row r="11" customFormat="false" ht="42" hidden="false" customHeight="true" outlineLevel="0" collapsed="false">
      <c r="A11" s="10" t="s">
        <v>156</v>
      </c>
      <c r="B11" s="10" t="s">
        <v>157</v>
      </c>
      <c r="C11" s="10" t="s">
        <v>106</v>
      </c>
      <c r="D11" s="10" t="s">
        <v>146</v>
      </c>
      <c r="E11" s="10" t="s">
        <v>158</v>
      </c>
      <c r="F11" s="10" t="s">
        <v>159</v>
      </c>
      <c r="G11" s="10" t="s">
        <v>160</v>
      </c>
      <c r="H11" s="10" t="s">
        <v>161</v>
      </c>
      <c r="I11" s="10" t="s">
        <v>162</v>
      </c>
      <c r="J11" s="11" t="s">
        <v>63</v>
      </c>
      <c r="K11" s="11" t="s">
        <v>64</v>
      </c>
      <c r="L11" s="11" t="s">
        <v>63</v>
      </c>
      <c r="M11" s="11" t="n">
        <v>4</v>
      </c>
      <c r="N11" s="11" t="n">
        <v>3</v>
      </c>
      <c r="O11" s="12" t="n">
        <f aca="false">IF(OR(M11="",N11=""),"",M11*N11)</f>
        <v>12</v>
      </c>
      <c r="P11" s="13" t="str">
        <f aca="false">IF(O11="","",IF(O11&lt;=4,"Low",IF(O11&lt;=9,"Medium",IF(O11&lt;=15,"High","Critical"))))</f>
        <v>High</v>
      </c>
      <c r="Q11" s="10" t="s">
        <v>163</v>
      </c>
      <c r="R11" s="10" t="s">
        <v>66</v>
      </c>
      <c r="S11" s="10" t="s">
        <v>164</v>
      </c>
      <c r="T11" s="10" t="s">
        <v>154</v>
      </c>
      <c r="U11" s="10" t="s">
        <v>165</v>
      </c>
      <c r="V11" s="11" t="n">
        <v>1</v>
      </c>
      <c r="W11" s="11" t="n">
        <v>3</v>
      </c>
      <c r="X11" s="12" t="n">
        <f aca="false">IF(OR(V11="",W11=""),"",V11*W11)</f>
        <v>3</v>
      </c>
      <c r="Y11" s="13" t="str">
        <f aca="false">IF(X11="","",IF(X11&lt;=4,"Low",IF(X11&lt;=9,"Medium",IF(X11&lt;=15,"High","Critical"))))</f>
        <v>Low</v>
      </c>
      <c r="Z11" s="10" t="s">
        <v>70</v>
      </c>
      <c r="AA11" s="10" t="s">
        <v>157</v>
      </c>
      <c r="AB11" s="10" t="s">
        <v>165</v>
      </c>
      <c r="AC11" s="10"/>
    </row>
    <row r="12" customFormat="false" ht="42" hidden="false" customHeight="true" outlineLevel="0" collapsed="false">
      <c r="A12" s="10" t="s">
        <v>166</v>
      </c>
      <c r="B12" s="10" t="s">
        <v>167</v>
      </c>
      <c r="C12" s="10" t="s">
        <v>168</v>
      </c>
      <c r="D12" s="10" t="s">
        <v>146</v>
      </c>
      <c r="E12" s="10" t="s">
        <v>147</v>
      </c>
      <c r="F12" s="10" t="s">
        <v>169</v>
      </c>
      <c r="G12" s="10" t="s">
        <v>170</v>
      </c>
      <c r="H12" s="10" t="s">
        <v>171</v>
      </c>
      <c r="I12" s="10" t="s">
        <v>172</v>
      </c>
      <c r="J12" s="11" t="s">
        <v>64</v>
      </c>
      <c r="K12" s="11" t="s">
        <v>63</v>
      </c>
      <c r="L12" s="11" t="s">
        <v>63</v>
      </c>
      <c r="M12" s="11" t="n">
        <v>3</v>
      </c>
      <c r="N12" s="11" t="n">
        <v>3</v>
      </c>
      <c r="O12" s="12" t="n">
        <f aca="false">IF(OR(M12="",N12=""),"",M12*N12)</f>
        <v>9</v>
      </c>
      <c r="P12" s="13" t="str">
        <f aca="false">IF(O12="","",IF(O12&lt;=4,"Low",IF(O12&lt;=9,"Medium",IF(O12&lt;=15,"High","Critical"))))</f>
        <v>Medium</v>
      </c>
      <c r="Q12" s="10" t="s">
        <v>173</v>
      </c>
      <c r="R12" s="10" t="s">
        <v>66</v>
      </c>
      <c r="S12" s="10" t="s">
        <v>174</v>
      </c>
      <c r="T12" s="10" t="s">
        <v>175</v>
      </c>
      <c r="U12" s="10" t="s">
        <v>176</v>
      </c>
      <c r="V12" s="11" t="n">
        <v>1</v>
      </c>
      <c r="W12" s="11" t="n">
        <v>2</v>
      </c>
      <c r="X12" s="12" t="n">
        <f aca="false">IF(OR(V12="",W12=""),"",V12*W12)</f>
        <v>2</v>
      </c>
      <c r="Y12" s="13" t="str">
        <f aca="false">IF(X12="","",IF(X12&lt;=4,"Low",IF(X12&lt;=9,"Medium",IF(X12&lt;=15,"High","Critical"))))</f>
        <v>Low</v>
      </c>
      <c r="Z12" s="10" t="s">
        <v>87</v>
      </c>
      <c r="AA12" s="10" t="s">
        <v>167</v>
      </c>
      <c r="AB12" s="10" t="s">
        <v>176</v>
      </c>
      <c r="AC12" s="10"/>
    </row>
    <row r="13" customFormat="false" ht="42" hidden="false" customHeight="true" outlineLevel="0" collapsed="false">
      <c r="A13" s="10" t="s">
        <v>177</v>
      </c>
      <c r="B13" s="10" t="s">
        <v>178</v>
      </c>
      <c r="C13" s="10" t="s">
        <v>179</v>
      </c>
      <c r="D13" s="10" t="s">
        <v>180</v>
      </c>
      <c r="E13" s="10" t="s">
        <v>58</v>
      </c>
      <c r="F13" s="10" t="s">
        <v>181</v>
      </c>
      <c r="G13" s="10" t="s">
        <v>182</v>
      </c>
      <c r="H13" s="10" t="s">
        <v>183</v>
      </c>
      <c r="I13" s="10" t="s">
        <v>184</v>
      </c>
      <c r="J13" s="11" t="s">
        <v>82</v>
      </c>
      <c r="K13" s="11" t="s">
        <v>82</v>
      </c>
      <c r="L13" s="11" t="s">
        <v>63</v>
      </c>
      <c r="M13" s="11" t="n">
        <v>3</v>
      </c>
      <c r="N13" s="11" t="n">
        <v>4</v>
      </c>
      <c r="O13" s="12" t="n">
        <f aca="false">IF(OR(M13="",N13=""),"",M13*N13)</f>
        <v>12</v>
      </c>
      <c r="P13" s="13" t="str">
        <f aca="false">IF(O13="","",IF(O13&lt;=4,"Low",IF(O13&lt;=9,"Medium",IF(O13&lt;=15,"High","Critical"))))</f>
        <v>High</v>
      </c>
      <c r="Q13" s="10" t="s">
        <v>185</v>
      </c>
      <c r="R13" s="10" t="s">
        <v>66</v>
      </c>
      <c r="S13" s="10" t="s">
        <v>186</v>
      </c>
      <c r="T13" s="10" t="s">
        <v>187</v>
      </c>
      <c r="U13" s="10" t="s">
        <v>188</v>
      </c>
      <c r="V13" s="11" t="n">
        <v>2</v>
      </c>
      <c r="W13" s="11" t="n">
        <v>3</v>
      </c>
      <c r="X13" s="12" t="n">
        <f aca="false">IF(OR(V13="",W13=""),"",V13*W13)</f>
        <v>6</v>
      </c>
      <c r="Y13" s="13" t="str">
        <f aca="false">IF(X13="","",IF(X13&lt;=4,"Low",IF(X13&lt;=9,"Medium",IF(X13&lt;=15,"High","Critical"))))</f>
        <v>Medium</v>
      </c>
      <c r="Z13" s="10" t="s">
        <v>87</v>
      </c>
      <c r="AA13" s="10" t="s">
        <v>178</v>
      </c>
      <c r="AB13" s="10" t="s">
        <v>188</v>
      </c>
      <c r="AC13" s="10"/>
    </row>
    <row r="14" customFormat="false" ht="42" hidden="false" customHeight="true" outlineLevel="0" collapsed="false">
      <c r="A14" s="10" t="s">
        <v>189</v>
      </c>
      <c r="B14" s="10" t="s">
        <v>190</v>
      </c>
      <c r="C14" s="10" t="s">
        <v>106</v>
      </c>
      <c r="D14" s="10" t="s">
        <v>191</v>
      </c>
      <c r="E14" s="10" t="s">
        <v>192</v>
      </c>
      <c r="F14" s="10" t="s">
        <v>193</v>
      </c>
      <c r="G14" s="10" t="s">
        <v>194</v>
      </c>
      <c r="H14" s="10" t="s">
        <v>195</v>
      </c>
      <c r="I14" s="10" t="s">
        <v>196</v>
      </c>
      <c r="J14" s="11" t="s">
        <v>63</v>
      </c>
      <c r="K14" s="11" t="s">
        <v>64</v>
      </c>
      <c r="L14" s="11" t="s">
        <v>64</v>
      </c>
      <c r="M14" s="11" t="n">
        <v>4</v>
      </c>
      <c r="N14" s="11" t="n">
        <v>3</v>
      </c>
      <c r="O14" s="12" t="n">
        <f aca="false">IF(OR(M14="",N14=""),"",M14*N14)</f>
        <v>12</v>
      </c>
      <c r="P14" s="13" t="str">
        <f aca="false">IF(O14="","",IF(O14&lt;=4,"Low",IF(O14&lt;=9,"Medium",IF(O14&lt;=15,"High","Critical"))))</f>
        <v>High</v>
      </c>
      <c r="Q14" s="10" t="s">
        <v>197</v>
      </c>
      <c r="R14" s="10" t="s">
        <v>66</v>
      </c>
      <c r="S14" s="10" t="s">
        <v>198</v>
      </c>
      <c r="T14" s="10" t="s">
        <v>154</v>
      </c>
      <c r="U14" s="10" t="s">
        <v>199</v>
      </c>
      <c r="V14" s="11" t="n">
        <v>3</v>
      </c>
      <c r="W14" s="11" t="n">
        <v>3</v>
      </c>
      <c r="X14" s="12" t="n">
        <f aca="false">IF(OR(V14="",W14=""),"",V14*W14)</f>
        <v>9</v>
      </c>
      <c r="Y14" s="13" t="str">
        <f aca="false">IF(X14="","",IF(X14&lt;=4,"Low",IF(X14&lt;=9,"Medium",IF(X14&lt;=15,"High","Critical"))))</f>
        <v>Medium</v>
      </c>
      <c r="Z14" s="10" t="s">
        <v>87</v>
      </c>
      <c r="AA14" s="10" t="s">
        <v>190</v>
      </c>
      <c r="AB14" s="10" t="s">
        <v>199</v>
      </c>
      <c r="AC14" s="10"/>
    </row>
    <row r="15" customFormat="false" ht="42" hidden="false" customHeight="true" outlineLevel="0" collapsed="false">
      <c r="A15" s="10" t="s">
        <v>200</v>
      </c>
      <c r="B15" s="10" t="s">
        <v>201</v>
      </c>
      <c r="C15" s="10" t="s">
        <v>202</v>
      </c>
      <c r="D15" s="10" t="s">
        <v>57</v>
      </c>
      <c r="E15" s="10" t="s">
        <v>58</v>
      </c>
      <c r="F15" s="10" t="s">
        <v>203</v>
      </c>
      <c r="G15" s="10" t="s">
        <v>204</v>
      </c>
      <c r="H15" s="10" t="s">
        <v>205</v>
      </c>
      <c r="I15" s="10" t="s">
        <v>206</v>
      </c>
      <c r="J15" s="11" t="s">
        <v>64</v>
      </c>
      <c r="K15" s="11" t="s">
        <v>64</v>
      </c>
      <c r="L15" s="11" t="s">
        <v>63</v>
      </c>
      <c r="M15" s="11" t="n">
        <v>3</v>
      </c>
      <c r="N15" s="11" t="n">
        <v>3</v>
      </c>
      <c r="O15" s="12" t="n">
        <f aca="false">IF(OR(M15="",N15=""),"",M15*N15)</f>
        <v>9</v>
      </c>
      <c r="P15" s="13" t="str">
        <f aca="false">IF(O15="","",IF(O15&lt;=4,"Low",IF(O15&lt;=9,"Medium",IF(O15&lt;=15,"High","Critical"))))</f>
        <v>Medium</v>
      </c>
      <c r="Q15" s="10" t="s">
        <v>207</v>
      </c>
      <c r="R15" s="10" t="s">
        <v>66</v>
      </c>
      <c r="S15" s="10" t="s">
        <v>208</v>
      </c>
      <c r="T15" s="10" t="s">
        <v>101</v>
      </c>
      <c r="U15" s="10" t="s">
        <v>209</v>
      </c>
      <c r="V15" s="11" t="n">
        <v>2</v>
      </c>
      <c r="W15" s="11" t="n">
        <v>2</v>
      </c>
      <c r="X15" s="12" t="n">
        <f aca="false">IF(OR(V15="",W15=""),"",V15*W15)</f>
        <v>4</v>
      </c>
      <c r="Y15" s="13" t="str">
        <f aca="false">IF(X15="","",IF(X15&lt;=4,"Low",IF(X15&lt;=9,"Medium",IF(X15&lt;=15,"High","Critical"))))</f>
        <v>Low</v>
      </c>
      <c r="Z15" s="10" t="s">
        <v>87</v>
      </c>
      <c r="AA15" s="10" t="s">
        <v>201</v>
      </c>
      <c r="AB15" s="10" t="s">
        <v>209</v>
      </c>
      <c r="AC15" s="10"/>
    </row>
    <row r="16" customFormat="false" ht="42" hidden="false" customHeight="true" outlineLevel="0" collapsed="false">
      <c r="A16" s="10" t="s">
        <v>210</v>
      </c>
      <c r="B16" s="10" t="s">
        <v>211</v>
      </c>
      <c r="C16" s="10" t="s">
        <v>212</v>
      </c>
      <c r="D16" s="10" t="s">
        <v>213</v>
      </c>
      <c r="E16" s="10" t="s">
        <v>77</v>
      </c>
      <c r="F16" s="10" t="s">
        <v>214</v>
      </c>
      <c r="G16" s="10" t="s">
        <v>215</v>
      </c>
      <c r="H16" s="10" t="s">
        <v>216</v>
      </c>
      <c r="I16" s="10" t="s">
        <v>217</v>
      </c>
      <c r="J16" s="11" t="s">
        <v>64</v>
      </c>
      <c r="K16" s="11" t="s">
        <v>82</v>
      </c>
      <c r="L16" s="11" t="s">
        <v>63</v>
      </c>
      <c r="M16" s="11" t="n">
        <v>3</v>
      </c>
      <c r="N16" s="11" t="n">
        <v>5</v>
      </c>
      <c r="O16" s="12" t="n">
        <f aca="false">IF(OR(M16="",N16=""),"",M16*N16)</f>
        <v>15</v>
      </c>
      <c r="P16" s="13" t="str">
        <f aca="false">IF(O16="","",IF(O16&lt;=4,"Low",IF(O16&lt;=9,"Medium",IF(O16&lt;=15,"High","Critical"))))</f>
        <v>High</v>
      </c>
      <c r="Q16" s="10" t="s">
        <v>83</v>
      </c>
      <c r="R16" s="10" t="s">
        <v>66</v>
      </c>
      <c r="S16" s="10" t="s">
        <v>218</v>
      </c>
      <c r="T16" s="10" t="s">
        <v>219</v>
      </c>
      <c r="U16" s="10" t="s">
        <v>220</v>
      </c>
      <c r="V16" s="11" t="n">
        <v>1</v>
      </c>
      <c r="W16" s="11" t="n">
        <v>4</v>
      </c>
      <c r="X16" s="12" t="n">
        <f aca="false">IF(OR(V16="",W16=""),"",V16*W16)</f>
        <v>4</v>
      </c>
      <c r="Y16" s="13" t="str">
        <f aca="false">IF(X16="","",IF(X16&lt;=4,"Low",IF(X16&lt;=9,"Medium",IF(X16&lt;=15,"High","Critical"))))</f>
        <v>Low</v>
      </c>
      <c r="Z16" s="10" t="s">
        <v>87</v>
      </c>
      <c r="AA16" s="10" t="s">
        <v>211</v>
      </c>
      <c r="AB16" s="10" t="s">
        <v>220</v>
      </c>
      <c r="AC16" s="10" t="s">
        <v>221</v>
      </c>
    </row>
    <row r="17" customFormat="false" ht="42" hidden="false" customHeight="true" outlineLevel="0" collapsed="false">
      <c r="A17" s="10" t="s">
        <v>222</v>
      </c>
      <c r="B17" s="10" t="s">
        <v>223</v>
      </c>
      <c r="C17" s="10" t="s">
        <v>224</v>
      </c>
      <c r="D17" s="10" t="s">
        <v>225</v>
      </c>
      <c r="E17" s="10" t="s">
        <v>77</v>
      </c>
      <c r="F17" s="10" t="s">
        <v>226</v>
      </c>
      <c r="G17" s="10" t="s">
        <v>227</v>
      </c>
      <c r="H17" s="10" t="s">
        <v>228</v>
      </c>
      <c r="I17" s="10" t="s">
        <v>229</v>
      </c>
      <c r="J17" s="11" t="s">
        <v>82</v>
      </c>
      <c r="K17" s="11" t="s">
        <v>82</v>
      </c>
      <c r="L17" s="11" t="s">
        <v>64</v>
      </c>
      <c r="M17" s="11" t="n">
        <v>2</v>
      </c>
      <c r="N17" s="11" t="n">
        <v>5</v>
      </c>
      <c r="O17" s="12" t="n">
        <f aca="false">IF(OR(M17="",N17=""),"",M17*N17)</f>
        <v>10</v>
      </c>
      <c r="P17" s="13" t="str">
        <f aca="false">IF(O17="","",IF(O17&lt;=4,"Low",IF(O17&lt;=9,"Medium",IF(O17&lt;=15,"High","Critical"))))</f>
        <v>High</v>
      </c>
      <c r="Q17" s="10" t="s">
        <v>230</v>
      </c>
      <c r="R17" s="10" t="s">
        <v>66</v>
      </c>
      <c r="S17" s="10" t="s">
        <v>231</v>
      </c>
      <c r="T17" s="10" t="s">
        <v>232</v>
      </c>
      <c r="U17" s="10" t="s">
        <v>103</v>
      </c>
      <c r="V17" s="11" t="n">
        <v>1</v>
      </c>
      <c r="W17" s="11" t="n">
        <v>4</v>
      </c>
      <c r="X17" s="12" t="n">
        <f aca="false">IF(OR(V17="",W17=""),"",V17*W17)</f>
        <v>4</v>
      </c>
      <c r="Y17" s="13" t="str">
        <f aca="false">IF(X17="","",IF(X17&lt;=4,"Low",IF(X17&lt;=9,"Medium",IF(X17&lt;=15,"High","Critical"))))</f>
        <v>Low</v>
      </c>
      <c r="Z17" s="10" t="s">
        <v>87</v>
      </c>
      <c r="AA17" s="10" t="s">
        <v>223</v>
      </c>
      <c r="AB17" s="10" t="s">
        <v>103</v>
      </c>
      <c r="AC17" s="10"/>
    </row>
    <row r="18" customFormat="false" ht="42" hidden="false" customHeight="true" outlineLevel="0" collapsed="false">
      <c r="A18" s="10" t="s">
        <v>233</v>
      </c>
      <c r="B18" s="10" t="s">
        <v>234</v>
      </c>
      <c r="C18" s="10" t="s">
        <v>106</v>
      </c>
      <c r="D18" s="10" t="s">
        <v>235</v>
      </c>
      <c r="E18" s="10" t="s">
        <v>236</v>
      </c>
      <c r="F18" s="10" t="s">
        <v>226</v>
      </c>
      <c r="G18" s="10" t="s">
        <v>237</v>
      </c>
      <c r="H18" s="10" t="s">
        <v>238</v>
      </c>
      <c r="I18" s="10" t="s">
        <v>239</v>
      </c>
      <c r="J18" s="11" t="s">
        <v>63</v>
      </c>
      <c r="K18" s="11" t="s">
        <v>63</v>
      </c>
      <c r="L18" s="11" t="s">
        <v>63</v>
      </c>
      <c r="M18" s="11" t="n">
        <v>3</v>
      </c>
      <c r="N18" s="11" t="n">
        <v>2</v>
      </c>
      <c r="O18" s="12" t="n">
        <f aca="false">IF(OR(M18="",N18=""),"",M18*N18)</f>
        <v>6</v>
      </c>
      <c r="P18" s="13" t="str">
        <f aca="false">IF(O18="","",IF(O18&lt;=4,"Low",IF(O18&lt;=9,"Medium",IF(O18&lt;=15,"High","Critical"))))</f>
        <v>Medium</v>
      </c>
      <c r="Q18" s="10" t="s">
        <v>83</v>
      </c>
      <c r="R18" s="10" t="s">
        <v>240</v>
      </c>
      <c r="S18" s="10" t="s">
        <v>241</v>
      </c>
      <c r="T18" s="10" t="s">
        <v>242</v>
      </c>
      <c r="U18" s="10" t="s">
        <v>243</v>
      </c>
      <c r="V18" s="11" t="n">
        <v>2</v>
      </c>
      <c r="W18" s="11" t="n">
        <v>2</v>
      </c>
      <c r="X18" s="12" t="n">
        <f aca="false">IF(OR(V18="",W18=""),"",V18*W18)</f>
        <v>4</v>
      </c>
      <c r="Y18" s="13" t="str">
        <f aca="false">IF(X18="","",IF(X18&lt;=4,"Low",IF(X18&lt;=9,"Medium",IF(X18&lt;=15,"High","Critical"))))</f>
        <v>Low</v>
      </c>
      <c r="Z18" s="10" t="s">
        <v>87</v>
      </c>
      <c r="AA18" s="10" t="s">
        <v>234</v>
      </c>
      <c r="AB18" s="10" t="s">
        <v>243</v>
      </c>
      <c r="AC18" s="10" t="s">
        <v>244</v>
      </c>
    </row>
    <row r="19" customFormat="false" ht="42" hidden="false" customHeight="true" outlineLevel="0" collapsed="false">
      <c r="A19" s="10" t="s">
        <v>245</v>
      </c>
      <c r="B19" s="10" t="s">
        <v>246</v>
      </c>
      <c r="C19" s="10" t="s">
        <v>247</v>
      </c>
      <c r="D19" s="10" t="s">
        <v>93</v>
      </c>
      <c r="E19" s="10" t="s">
        <v>248</v>
      </c>
      <c r="F19" s="10" t="s">
        <v>249</v>
      </c>
      <c r="G19" s="10" t="s">
        <v>250</v>
      </c>
      <c r="H19" s="10" t="s">
        <v>251</v>
      </c>
      <c r="I19" s="10" t="s">
        <v>252</v>
      </c>
      <c r="J19" s="11" t="s">
        <v>63</v>
      </c>
      <c r="K19" s="11" t="s">
        <v>64</v>
      </c>
      <c r="L19" s="11" t="s">
        <v>63</v>
      </c>
      <c r="M19" s="11" t="n">
        <v>3</v>
      </c>
      <c r="N19" s="11" t="n">
        <v>3</v>
      </c>
      <c r="O19" s="12" t="n">
        <f aca="false">IF(OR(M19="",N19=""),"",M19*N19)</f>
        <v>9</v>
      </c>
      <c r="P19" s="13" t="str">
        <f aca="false">IF(O19="","",IF(O19&lt;=4,"Low",IF(O19&lt;=9,"Medium",IF(O19&lt;=15,"High","Critical"))))</f>
        <v>Medium</v>
      </c>
      <c r="Q19" s="10" t="s">
        <v>253</v>
      </c>
      <c r="R19" s="10" t="s">
        <v>66</v>
      </c>
      <c r="S19" s="10" t="s">
        <v>254</v>
      </c>
      <c r="T19" s="10" t="s">
        <v>255</v>
      </c>
      <c r="U19" s="10" t="s">
        <v>256</v>
      </c>
      <c r="V19" s="11" t="n">
        <v>1</v>
      </c>
      <c r="W19" s="11" t="n">
        <v>2</v>
      </c>
      <c r="X19" s="12" t="n">
        <f aca="false">IF(OR(V19="",W19=""),"",V19*W19)</f>
        <v>2</v>
      </c>
      <c r="Y19" s="13" t="str">
        <f aca="false">IF(X19="","",IF(X19&lt;=4,"Low",IF(X19&lt;=9,"Medium",IF(X19&lt;=15,"High","Critical"))))</f>
        <v>Low</v>
      </c>
      <c r="Z19" s="10" t="s">
        <v>87</v>
      </c>
      <c r="AA19" s="10" t="s">
        <v>246</v>
      </c>
      <c r="AB19" s="10" t="s">
        <v>256</v>
      </c>
      <c r="AC19" s="10"/>
    </row>
    <row r="20" customFormat="false" ht="42" hidden="false" customHeight="true" outlineLevel="0" collapsed="false">
      <c r="A20" s="10" t="s">
        <v>257</v>
      </c>
      <c r="B20" s="10" t="s">
        <v>258</v>
      </c>
      <c r="C20" s="10" t="s">
        <v>106</v>
      </c>
      <c r="D20" s="10" t="s">
        <v>259</v>
      </c>
      <c r="E20" s="10" t="s">
        <v>260</v>
      </c>
      <c r="F20" s="10" t="s">
        <v>261</v>
      </c>
      <c r="G20" s="10" t="s">
        <v>262</v>
      </c>
      <c r="H20" s="10" t="s">
        <v>263</v>
      </c>
      <c r="I20" s="10" t="s">
        <v>264</v>
      </c>
      <c r="J20" s="11" t="s">
        <v>64</v>
      </c>
      <c r="K20" s="11" t="s">
        <v>64</v>
      </c>
      <c r="L20" s="11" t="s">
        <v>63</v>
      </c>
      <c r="M20" s="11" t="n">
        <v>4</v>
      </c>
      <c r="N20" s="11" t="n">
        <v>3</v>
      </c>
      <c r="O20" s="12" t="n">
        <f aca="false">IF(OR(M20="",N20=""),"",M20*N20)</f>
        <v>12</v>
      </c>
      <c r="P20" s="13" t="str">
        <f aca="false">IF(O20="","",IF(O20&lt;=4,"Low",IF(O20&lt;=9,"Medium",IF(O20&lt;=15,"High","Critical"))))</f>
        <v>High</v>
      </c>
      <c r="Q20" s="10" t="s">
        <v>265</v>
      </c>
      <c r="R20" s="10" t="s">
        <v>66</v>
      </c>
      <c r="S20" s="10" t="s">
        <v>266</v>
      </c>
      <c r="T20" s="10" t="s">
        <v>219</v>
      </c>
      <c r="U20" s="10" t="s">
        <v>267</v>
      </c>
      <c r="V20" s="11" t="n">
        <v>2</v>
      </c>
      <c r="W20" s="11" t="n">
        <v>2</v>
      </c>
      <c r="X20" s="12" t="n">
        <f aca="false">IF(OR(V20="",W20=""),"",V20*W20)</f>
        <v>4</v>
      </c>
      <c r="Y20" s="13" t="str">
        <f aca="false">IF(X20="","",IF(X20&lt;=4,"Low",IF(X20&lt;=9,"Medium",IF(X20&lt;=15,"High","Critical"))))</f>
        <v>Low</v>
      </c>
      <c r="Z20" s="10" t="s">
        <v>87</v>
      </c>
      <c r="AA20" s="10" t="s">
        <v>258</v>
      </c>
      <c r="AB20" s="10" t="s">
        <v>267</v>
      </c>
      <c r="AC20" s="10"/>
    </row>
    <row r="21" customFormat="false" ht="42" hidden="false" customHeight="true" outlineLevel="0" collapsed="false">
      <c r="A21" s="10" t="s">
        <v>268</v>
      </c>
      <c r="B21" s="10" t="s">
        <v>269</v>
      </c>
      <c r="C21" s="10" t="s">
        <v>106</v>
      </c>
      <c r="D21" s="10" t="s">
        <v>259</v>
      </c>
      <c r="E21" s="10" t="s">
        <v>270</v>
      </c>
      <c r="F21" s="10" t="s">
        <v>271</v>
      </c>
      <c r="G21" s="10" t="s">
        <v>272</v>
      </c>
      <c r="H21" s="10" t="s">
        <v>273</v>
      </c>
      <c r="I21" s="10" t="s">
        <v>274</v>
      </c>
      <c r="J21" s="11" t="s">
        <v>64</v>
      </c>
      <c r="K21" s="11" t="s">
        <v>82</v>
      </c>
      <c r="L21" s="11" t="s">
        <v>63</v>
      </c>
      <c r="M21" s="11" t="n">
        <v>3</v>
      </c>
      <c r="N21" s="11" t="n">
        <v>4</v>
      </c>
      <c r="O21" s="12" t="n">
        <f aca="false">IF(OR(M21="",N21=""),"",M21*N21)</f>
        <v>12</v>
      </c>
      <c r="P21" s="13" t="str">
        <f aca="false">IF(O21="","",IF(O21&lt;=4,"Low",IF(O21&lt;=9,"Medium",IF(O21&lt;=15,"High","Critical"))))</f>
        <v>High</v>
      </c>
      <c r="Q21" s="10" t="s">
        <v>275</v>
      </c>
      <c r="R21" s="10" t="s">
        <v>66</v>
      </c>
      <c r="S21" s="10" t="s">
        <v>276</v>
      </c>
      <c r="T21" s="10" t="s">
        <v>114</v>
      </c>
      <c r="U21" s="10" t="s">
        <v>209</v>
      </c>
      <c r="V21" s="11" t="n">
        <v>1</v>
      </c>
      <c r="W21" s="11" t="n">
        <v>3</v>
      </c>
      <c r="X21" s="12" t="n">
        <f aca="false">IF(OR(V21="",W21=""),"",V21*W21)</f>
        <v>3</v>
      </c>
      <c r="Y21" s="13" t="str">
        <f aca="false">IF(X21="","",IF(X21&lt;=4,"Low",IF(X21&lt;=9,"Medium",IF(X21&lt;=15,"High","Critical"))))</f>
        <v>Low</v>
      </c>
      <c r="Z21" s="10" t="s">
        <v>87</v>
      </c>
      <c r="AA21" s="10" t="s">
        <v>269</v>
      </c>
      <c r="AB21" s="10" t="s">
        <v>209</v>
      </c>
      <c r="AC21" s="10"/>
    </row>
    <row r="22" customFormat="false" ht="42" hidden="false" customHeight="true" outlineLevel="0" collapsed="false">
      <c r="A22" s="10" t="s">
        <v>277</v>
      </c>
      <c r="B22" s="10" t="s">
        <v>278</v>
      </c>
      <c r="C22" s="10" t="s">
        <v>279</v>
      </c>
      <c r="D22" s="10" t="s">
        <v>280</v>
      </c>
      <c r="E22" s="10" t="s">
        <v>58</v>
      </c>
      <c r="F22" s="10" t="s">
        <v>281</v>
      </c>
      <c r="G22" s="10" t="s">
        <v>282</v>
      </c>
      <c r="H22" s="10" t="s">
        <v>283</v>
      </c>
      <c r="I22" s="10" t="s">
        <v>284</v>
      </c>
      <c r="J22" s="11" t="s">
        <v>82</v>
      </c>
      <c r="K22" s="11" t="s">
        <v>64</v>
      </c>
      <c r="L22" s="11" t="s">
        <v>63</v>
      </c>
      <c r="M22" s="11" t="n">
        <v>2</v>
      </c>
      <c r="N22" s="11" t="n">
        <v>5</v>
      </c>
      <c r="O22" s="12" t="n">
        <f aca="false">IF(OR(M22="",N22=""),"",M22*N22)</f>
        <v>10</v>
      </c>
      <c r="P22" s="13" t="str">
        <f aca="false">IF(O22="","",IF(O22&lt;=4,"Low",IF(O22&lt;=9,"Medium",IF(O22&lt;=15,"High","Critical"))))</f>
        <v>High</v>
      </c>
      <c r="Q22" s="10" t="s">
        <v>285</v>
      </c>
      <c r="R22" s="10" t="s">
        <v>66</v>
      </c>
      <c r="S22" s="10" t="s">
        <v>286</v>
      </c>
      <c r="T22" s="10" t="s">
        <v>287</v>
      </c>
      <c r="U22" s="10" t="s">
        <v>288</v>
      </c>
      <c r="V22" s="11" t="n">
        <v>1</v>
      </c>
      <c r="W22" s="11" t="n">
        <v>4</v>
      </c>
      <c r="X22" s="12" t="n">
        <f aca="false">IF(OR(V22="",W22=""),"",V22*W22)</f>
        <v>4</v>
      </c>
      <c r="Y22" s="13" t="str">
        <f aca="false">IF(X22="","",IF(X22&lt;=4,"Low",IF(X22&lt;=9,"Medium",IF(X22&lt;=15,"High","Critical"))))</f>
        <v>Low</v>
      </c>
      <c r="Z22" s="10" t="s">
        <v>87</v>
      </c>
      <c r="AA22" s="10" t="s">
        <v>278</v>
      </c>
      <c r="AB22" s="10" t="s">
        <v>288</v>
      </c>
      <c r="AC22" s="10"/>
    </row>
    <row r="23" customFormat="false" ht="42" hidden="false" customHeight="true" outlineLevel="0" collapsed="false">
      <c r="A23" s="10" t="s">
        <v>289</v>
      </c>
      <c r="B23" s="10" t="s">
        <v>290</v>
      </c>
      <c r="C23" s="10" t="s">
        <v>291</v>
      </c>
      <c r="D23" s="10" t="s">
        <v>292</v>
      </c>
      <c r="E23" s="10" t="s">
        <v>58</v>
      </c>
      <c r="F23" s="10" t="s">
        <v>293</v>
      </c>
      <c r="G23" s="10" t="s">
        <v>294</v>
      </c>
      <c r="H23" s="10" t="s">
        <v>295</v>
      </c>
      <c r="I23" s="10" t="s">
        <v>296</v>
      </c>
      <c r="J23" s="11" t="s">
        <v>63</v>
      </c>
      <c r="K23" s="11" t="s">
        <v>82</v>
      </c>
      <c r="L23" s="11" t="s">
        <v>64</v>
      </c>
      <c r="M23" s="11" t="n">
        <v>3</v>
      </c>
      <c r="N23" s="11" t="n">
        <v>3</v>
      </c>
      <c r="O23" s="12" t="n">
        <f aca="false">IF(OR(M23="",N23=""),"",M23*N23)</f>
        <v>9</v>
      </c>
      <c r="P23" s="13" t="str">
        <f aca="false">IF(O23="","",IF(O23&lt;=4,"Low",IF(O23&lt;=9,"Medium",IF(O23&lt;=15,"High","Critical"))))</f>
        <v>Medium</v>
      </c>
      <c r="Q23" s="10" t="s">
        <v>83</v>
      </c>
      <c r="R23" s="10" t="s">
        <v>66</v>
      </c>
      <c r="S23" s="10" t="s">
        <v>297</v>
      </c>
      <c r="T23" s="10" t="s">
        <v>298</v>
      </c>
      <c r="U23" s="10" t="s">
        <v>142</v>
      </c>
      <c r="V23" s="11" t="n">
        <v>2</v>
      </c>
      <c r="W23" s="11" t="n">
        <v>2</v>
      </c>
      <c r="X23" s="12" t="n">
        <f aca="false">IF(OR(V23="",W23=""),"",V23*W23)</f>
        <v>4</v>
      </c>
      <c r="Y23" s="13" t="str">
        <f aca="false">IF(X23="","",IF(X23&lt;=4,"Low",IF(X23&lt;=9,"Medium",IF(X23&lt;=15,"High","Critical"))))</f>
        <v>Low</v>
      </c>
      <c r="Z23" s="10" t="s">
        <v>87</v>
      </c>
      <c r="AA23" s="10" t="s">
        <v>290</v>
      </c>
      <c r="AB23" s="10" t="s">
        <v>142</v>
      </c>
      <c r="AC23" s="10"/>
    </row>
    <row r="24" customFormat="false" ht="42" hidden="false" customHeight="true" outlineLevel="0" collapsed="false">
      <c r="A24" s="10" t="s">
        <v>299</v>
      </c>
      <c r="B24" s="10" t="s">
        <v>300</v>
      </c>
      <c r="C24" s="10" t="s">
        <v>106</v>
      </c>
      <c r="D24" s="10" t="s">
        <v>301</v>
      </c>
      <c r="E24" s="10" t="s">
        <v>302</v>
      </c>
      <c r="F24" s="10" t="s">
        <v>302</v>
      </c>
      <c r="G24" s="10" t="s">
        <v>303</v>
      </c>
      <c r="H24" s="10" t="s">
        <v>304</v>
      </c>
      <c r="I24" s="10" t="s">
        <v>305</v>
      </c>
      <c r="J24" s="11" t="s">
        <v>63</v>
      </c>
      <c r="K24" s="11" t="s">
        <v>82</v>
      </c>
      <c r="L24" s="11" t="s">
        <v>63</v>
      </c>
      <c r="M24" s="11" t="n">
        <v>3</v>
      </c>
      <c r="N24" s="11" t="n">
        <v>4</v>
      </c>
      <c r="O24" s="12" t="n">
        <f aca="false">IF(OR(M24="",N24=""),"",M24*N24)</f>
        <v>12</v>
      </c>
      <c r="P24" s="13" t="str">
        <f aca="false">IF(O24="","",IF(O24&lt;=4,"Low",IF(O24&lt;=9,"Medium",IF(O24&lt;=15,"High","Critical"))))</f>
        <v>High</v>
      </c>
      <c r="Q24" s="10" t="s">
        <v>83</v>
      </c>
      <c r="R24" s="10" t="s">
        <v>66</v>
      </c>
      <c r="S24" s="10" t="s">
        <v>306</v>
      </c>
      <c r="T24" s="10" t="s">
        <v>219</v>
      </c>
      <c r="U24" s="10" t="s">
        <v>188</v>
      </c>
      <c r="V24" s="11" t="n">
        <v>1</v>
      </c>
      <c r="W24" s="11" t="n">
        <v>3</v>
      </c>
      <c r="X24" s="12" t="n">
        <f aca="false">IF(OR(V24="",W24=""),"",V24*W24)</f>
        <v>3</v>
      </c>
      <c r="Y24" s="13" t="str">
        <f aca="false">IF(X24="","",IF(X24&lt;=4,"Low",IF(X24&lt;=9,"Medium",IF(X24&lt;=15,"High","Critical"))))</f>
        <v>Low</v>
      </c>
      <c r="Z24" s="10" t="s">
        <v>87</v>
      </c>
      <c r="AA24" s="10" t="s">
        <v>300</v>
      </c>
      <c r="AB24" s="10" t="s">
        <v>188</v>
      </c>
      <c r="AC24" s="10"/>
    </row>
    <row r="25" customFormat="false" ht="42" hidden="false" customHeight="true" outlineLevel="0" collapsed="false">
      <c r="A25" s="10" t="s">
        <v>307</v>
      </c>
      <c r="B25" s="10" t="s">
        <v>165</v>
      </c>
      <c r="C25" s="10" t="s">
        <v>308</v>
      </c>
      <c r="D25" s="10" t="s">
        <v>309</v>
      </c>
      <c r="E25" s="10" t="s">
        <v>310</v>
      </c>
      <c r="F25" s="10" t="s">
        <v>122</v>
      </c>
      <c r="G25" s="10" t="s">
        <v>311</v>
      </c>
      <c r="H25" s="10" t="s">
        <v>312</v>
      </c>
      <c r="I25" s="10" t="s">
        <v>313</v>
      </c>
      <c r="J25" s="11" t="s">
        <v>63</v>
      </c>
      <c r="K25" s="11" t="s">
        <v>63</v>
      </c>
      <c r="L25" s="11" t="s">
        <v>63</v>
      </c>
      <c r="M25" s="11" t="n">
        <v>3</v>
      </c>
      <c r="N25" s="11" t="n">
        <v>2</v>
      </c>
      <c r="O25" s="12" t="n">
        <f aca="false">IF(OR(M25="",N25=""),"",M25*N25)</f>
        <v>6</v>
      </c>
      <c r="P25" s="13" t="str">
        <f aca="false">IF(O25="","",IF(O25&lt;=4,"Low",IF(O25&lt;=9,"Medium",IF(O25&lt;=15,"High","Critical"))))</f>
        <v>Medium</v>
      </c>
      <c r="Q25" s="10" t="s">
        <v>314</v>
      </c>
      <c r="R25" s="10" t="s">
        <v>66</v>
      </c>
      <c r="S25" s="10" t="s">
        <v>315</v>
      </c>
      <c r="T25" s="10" t="s">
        <v>316</v>
      </c>
      <c r="U25" s="10" t="s">
        <v>71</v>
      </c>
      <c r="V25" s="11" t="n">
        <v>1</v>
      </c>
      <c r="W25" s="11" t="n">
        <v>2</v>
      </c>
      <c r="X25" s="12" t="n">
        <f aca="false">IF(OR(V25="",W25=""),"",V25*W25)</f>
        <v>2</v>
      </c>
      <c r="Y25" s="13" t="str">
        <f aca="false">IF(X25="","",IF(X25&lt;=4,"Low",IF(X25&lt;=9,"Medium",IF(X25&lt;=15,"High","Critical"))))</f>
        <v>Low</v>
      </c>
      <c r="Z25" s="10" t="s">
        <v>87</v>
      </c>
      <c r="AA25" s="10" t="s">
        <v>165</v>
      </c>
      <c r="AB25" s="10" t="s">
        <v>71</v>
      </c>
      <c r="AC25" s="10"/>
    </row>
    <row r="26" customFormat="false" ht="42" hidden="false" customHeight="true" outlineLevel="0" collapsed="false">
      <c r="A26" s="10" t="s">
        <v>317</v>
      </c>
      <c r="B26" s="10" t="s">
        <v>318</v>
      </c>
      <c r="C26" s="10" t="s">
        <v>106</v>
      </c>
      <c r="D26" s="10" t="s">
        <v>319</v>
      </c>
      <c r="E26" s="10" t="s">
        <v>320</v>
      </c>
      <c r="F26" s="10" t="s">
        <v>321</v>
      </c>
      <c r="G26" s="10" t="s">
        <v>322</v>
      </c>
      <c r="H26" s="10" t="s">
        <v>323</v>
      </c>
      <c r="I26" s="10" t="s">
        <v>324</v>
      </c>
      <c r="J26" s="11" t="s">
        <v>64</v>
      </c>
      <c r="K26" s="11" t="s">
        <v>64</v>
      </c>
      <c r="L26" s="11" t="s">
        <v>64</v>
      </c>
      <c r="M26" s="11" t="n">
        <v>2</v>
      </c>
      <c r="N26" s="11" t="n">
        <v>4</v>
      </c>
      <c r="O26" s="12" t="n">
        <f aca="false">IF(OR(M26="",N26=""),"",M26*N26)</f>
        <v>8</v>
      </c>
      <c r="P26" s="13" t="str">
        <f aca="false">IF(O26="","",IF(O26&lt;=4,"Low",IF(O26&lt;=9,"Medium",IF(O26&lt;=15,"High","Critical"))))</f>
        <v>Medium</v>
      </c>
      <c r="Q26" s="10" t="s">
        <v>325</v>
      </c>
      <c r="R26" s="10" t="s">
        <v>66</v>
      </c>
      <c r="S26" s="10" t="s">
        <v>326</v>
      </c>
      <c r="T26" s="10" t="s">
        <v>175</v>
      </c>
      <c r="U26" s="10" t="s">
        <v>327</v>
      </c>
      <c r="V26" s="11" t="n">
        <v>1</v>
      </c>
      <c r="W26" s="11" t="n">
        <v>3</v>
      </c>
      <c r="X26" s="12" t="n">
        <f aca="false">IF(OR(V26="",W26=""),"",V26*W26)</f>
        <v>3</v>
      </c>
      <c r="Y26" s="13" t="str">
        <f aca="false">IF(X26="","",IF(X26&lt;=4,"Low",IF(X26&lt;=9,"Medium",IF(X26&lt;=15,"High","Critical"))))</f>
        <v>Low</v>
      </c>
      <c r="Z26" s="10" t="s">
        <v>87</v>
      </c>
      <c r="AA26" s="10" t="s">
        <v>318</v>
      </c>
      <c r="AB26" s="10" t="s">
        <v>327</v>
      </c>
      <c r="AC26" s="10"/>
    </row>
    <row r="27" customFormat="false" ht="42" hidden="false" customHeight="true" outlineLevel="0" collapsed="false">
      <c r="A27" s="10" t="s">
        <v>328</v>
      </c>
      <c r="B27" s="10" t="s">
        <v>329</v>
      </c>
      <c r="C27" s="10" t="s">
        <v>330</v>
      </c>
      <c r="D27" s="10" t="s">
        <v>93</v>
      </c>
      <c r="E27" s="10" t="s">
        <v>94</v>
      </c>
      <c r="F27" s="10" t="s">
        <v>95</v>
      </c>
      <c r="G27" s="10" t="s">
        <v>331</v>
      </c>
      <c r="H27" s="10" t="s">
        <v>332</v>
      </c>
      <c r="I27" s="10" t="s">
        <v>333</v>
      </c>
      <c r="J27" s="11" t="s">
        <v>63</v>
      </c>
      <c r="K27" s="11" t="s">
        <v>64</v>
      </c>
      <c r="L27" s="11" t="s">
        <v>63</v>
      </c>
      <c r="M27" s="11" t="n">
        <v>4</v>
      </c>
      <c r="N27" s="11" t="n">
        <v>2</v>
      </c>
      <c r="O27" s="12" t="n">
        <f aca="false">IF(OR(M27="",N27=""),"",M27*N27)</f>
        <v>8</v>
      </c>
      <c r="P27" s="13" t="str">
        <f aca="false">IF(O27="","",IF(O27&lt;=4,"Low",IF(O27&lt;=9,"Medium",IF(O27&lt;=15,"High","Critical"))))</f>
        <v>Medium</v>
      </c>
      <c r="Q27" s="10" t="s">
        <v>83</v>
      </c>
      <c r="R27" s="10" t="s">
        <v>66</v>
      </c>
      <c r="S27" s="10" t="s">
        <v>334</v>
      </c>
      <c r="T27" s="10" t="s">
        <v>255</v>
      </c>
      <c r="U27" s="10" t="s">
        <v>335</v>
      </c>
      <c r="V27" s="11" t="n">
        <v>2</v>
      </c>
      <c r="W27" s="11" t="n">
        <v>2</v>
      </c>
      <c r="X27" s="12" t="n">
        <f aca="false">IF(OR(V27="",W27=""),"",V27*W27)</f>
        <v>4</v>
      </c>
      <c r="Y27" s="13" t="str">
        <f aca="false">IF(X27="","",IF(X27&lt;=4,"Low",IF(X27&lt;=9,"Medium",IF(X27&lt;=15,"High","Critical"))))</f>
        <v>Low</v>
      </c>
      <c r="Z27" s="10" t="s">
        <v>87</v>
      </c>
      <c r="AA27" s="10" t="s">
        <v>329</v>
      </c>
      <c r="AB27" s="10" t="s">
        <v>335</v>
      </c>
      <c r="AC27" s="10"/>
    </row>
    <row r="28" customFormat="false" ht="42" hidden="false" customHeight="true" outlineLevel="0" collapsed="false">
      <c r="A28" s="10" t="s">
        <v>336</v>
      </c>
      <c r="B28" s="10" t="s">
        <v>337</v>
      </c>
      <c r="C28" s="10" t="s">
        <v>106</v>
      </c>
      <c r="D28" s="10" t="s">
        <v>338</v>
      </c>
      <c r="E28" s="10" t="s">
        <v>236</v>
      </c>
      <c r="F28" s="10" t="s">
        <v>339</v>
      </c>
      <c r="G28" s="10" t="s">
        <v>340</v>
      </c>
      <c r="H28" s="10" t="s">
        <v>341</v>
      </c>
      <c r="I28" s="10" t="s">
        <v>342</v>
      </c>
      <c r="J28" s="11" t="s">
        <v>63</v>
      </c>
      <c r="K28" s="11" t="s">
        <v>63</v>
      </c>
      <c r="L28" s="11" t="s">
        <v>63</v>
      </c>
      <c r="M28" s="11" t="n">
        <v>3</v>
      </c>
      <c r="N28" s="11" t="n">
        <v>4</v>
      </c>
      <c r="O28" s="12" t="n">
        <f aca="false">IF(OR(M28="",N28=""),"",M28*N28)</f>
        <v>12</v>
      </c>
      <c r="P28" s="13" t="str">
        <f aca="false">IF(O28="","",IF(O28&lt;=4,"Low",IF(O28&lt;=9,"Medium",IF(O28&lt;=15,"High","Critical"))))</f>
        <v>High</v>
      </c>
      <c r="Q28" s="10" t="s">
        <v>343</v>
      </c>
      <c r="R28" s="10" t="s">
        <v>66</v>
      </c>
      <c r="S28" s="10" t="s">
        <v>344</v>
      </c>
      <c r="T28" s="10" t="s">
        <v>175</v>
      </c>
      <c r="U28" s="10" t="s">
        <v>128</v>
      </c>
      <c r="V28" s="11" t="n">
        <v>2</v>
      </c>
      <c r="W28" s="11" t="n">
        <v>3</v>
      </c>
      <c r="X28" s="12" t="n">
        <f aca="false">IF(OR(V28="",W28=""),"",V28*W28)</f>
        <v>6</v>
      </c>
      <c r="Y28" s="13" t="str">
        <f aca="false">IF(X28="","",IF(X28&lt;=4,"Low",IF(X28&lt;=9,"Medium",IF(X28&lt;=15,"High","Critical"))))</f>
        <v>Medium</v>
      </c>
      <c r="Z28" s="10" t="s">
        <v>87</v>
      </c>
      <c r="AA28" s="10" t="s">
        <v>337</v>
      </c>
      <c r="AB28" s="10" t="s">
        <v>128</v>
      </c>
      <c r="AC28" s="10"/>
    </row>
    <row r="29" customFormat="false" ht="42" hidden="false" customHeight="true" outlineLevel="0" collapsed="false">
      <c r="A29" s="10" t="s">
        <v>345</v>
      </c>
      <c r="B29" s="10" t="s">
        <v>346</v>
      </c>
      <c r="C29" s="10" t="s">
        <v>347</v>
      </c>
      <c r="D29" s="10" t="s">
        <v>280</v>
      </c>
      <c r="E29" s="10" t="s">
        <v>77</v>
      </c>
      <c r="F29" s="10" t="s">
        <v>78</v>
      </c>
      <c r="G29" s="10" t="s">
        <v>348</v>
      </c>
      <c r="H29" s="10" t="s">
        <v>349</v>
      </c>
      <c r="I29" s="10" t="s">
        <v>350</v>
      </c>
      <c r="J29" s="11" t="s">
        <v>82</v>
      </c>
      <c r="K29" s="11" t="s">
        <v>64</v>
      </c>
      <c r="L29" s="11" t="s">
        <v>63</v>
      </c>
      <c r="M29" s="11" t="n">
        <v>3</v>
      </c>
      <c r="N29" s="11" t="n">
        <v>3</v>
      </c>
      <c r="O29" s="12" t="n">
        <f aca="false">IF(OR(M29="",N29=""),"",M29*N29)</f>
        <v>9</v>
      </c>
      <c r="P29" s="13" t="str">
        <f aca="false">IF(O29="","",IF(O29&lt;=4,"Low",IF(O29&lt;=9,"Medium",IF(O29&lt;=15,"High","Critical"))))</f>
        <v>Medium</v>
      </c>
      <c r="Q29" s="10" t="s">
        <v>351</v>
      </c>
      <c r="R29" s="10" t="s">
        <v>66</v>
      </c>
      <c r="S29" s="10" t="s">
        <v>352</v>
      </c>
      <c r="T29" s="10" t="s">
        <v>353</v>
      </c>
      <c r="U29" s="10" t="s">
        <v>354</v>
      </c>
      <c r="V29" s="11" t="n">
        <v>2</v>
      </c>
      <c r="W29" s="11" t="n">
        <v>2</v>
      </c>
      <c r="X29" s="12" t="n">
        <f aca="false">IF(OR(V29="",W29=""),"",V29*W29)</f>
        <v>4</v>
      </c>
      <c r="Y29" s="13" t="str">
        <f aca="false">IF(X29="","",IF(X29&lt;=4,"Low",IF(X29&lt;=9,"Medium",IF(X29&lt;=15,"High","Critical"))))</f>
        <v>Low</v>
      </c>
      <c r="Z29" s="10" t="s">
        <v>87</v>
      </c>
      <c r="AA29" s="10" t="s">
        <v>346</v>
      </c>
      <c r="AB29" s="10" t="s">
        <v>354</v>
      </c>
      <c r="AC29" s="10"/>
    </row>
    <row r="30" customFormat="false" ht="42" hidden="false" customHeight="true" outlineLevel="0" collapsed="false">
      <c r="A30" s="10" t="s">
        <v>355</v>
      </c>
      <c r="B30" s="10" t="s">
        <v>88</v>
      </c>
      <c r="C30" s="10" t="s">
        <v>106</v>
      </c>
      <c r="D30" s="10" t="s">
        <v>132</v>
      </c>
      <c r="E30" s="10" t="s">
        <v>133</v>
      </c>
      <c r="F30" s="10" t="s">
        <v>356</v>
      </c>
      <c r="G30" s="10" t="s">
        <v>357</v>
      </c>
      <c r="H30" s="10" t="s">
        <v>358</v>
      </c>
      <c r="I30" s="10" t="s">
        <v>359</v>
      </c>
      <c r="J30" s="11" t="s">
        <v>64</v>
      </c>
      <c r="K30" s="11" t="s">
        <v>64</v>
      </c>
      <c r="L30" s="11" t="s">
        <v>64</v>
      </c>
      <c r="M30" s="11" t="n">
        <v>2</v>
      </c>
      <c r="N30" s="11" t="n">
        <v>4</v>
      </c>
      <c r="O30" s="12" t="n">
        <f aca="false">IF(OR(M30="",N30=""),"",M30*N30)</f>
        <v>8</v>
      </c>
      <c r="P30" s="13" t="str">
        <f aca="false">IF(O30="","",IF(O30&lt;=4,"Low",IF(O30&lt;=9,"Medium",IF(O30&lt;=15,"High","Critical"))))</f>
        <v>Medium</v>
      </c>
      <c r="Q30" s="10" t="s">
        <v>360</v>
      </c>
      <c r="R30" s="10" t="s">
        <v>66</v>
      </c>
      <c r="S30" s="10" t="s">
        <v>361</v>
      </c>
      <c r="T30" s="10" t="s">
        <v>141</v>
      </c>
      <c r="U30" s="10" t="s">
        <v>362</v>
      </c>
      <c r="V30" s="11" t="n">
        <v>1</v>
      </c>
      <c r="W30" s="11" t="n">
        <v>3</v>
      </c>
      <c r="X30" s="12" t="n">
        <f aca="false">IF(OR(V30="",W30=""),"",V30*W30)</f>
        <v>3</v>
      </c>
      <c r="Y30" s="13" t="str">
        <f aca="false">IF(X30="","",IF(X30&lt;=4,"Low",IF(X30&lt;=9,"Medium",IF(X30&lt;=15,"High","Critical"))))</f>
        <v>Low</v>
      </c>
      <c r="Z30" s="10" t="s">
        <v>87</v>
      </c>
      <c r="AA30" s="10" t="s">
        <v>88</v>
      </c>
      <c r="AB30" s="10" t="s">
        <v>362</v>
      </c>
      <c r="AC30" s="10"/>
    </row>
    <row r="31" customFormat="false" ht="42" hidden="false" customHeight="true" outlineLevel="0" collapsed="false">
      <c r="A31" s="10" t="s">
        <v>363</v>
      </c>
      <c r="B31" s="10" t="s">
        <v>364</v>
      </c>
      <c r="C31" s="10" t="s">
        <v>365</v>
      </c>
      <c r="D31" s="10" t="s">
        <v>366</v>
      </c>
      <c r="E31" s="10" t="s">
        <v>367</v>
      </c>
      <c r="F31" s="10" t="s">
        <v>368</v>
      </c>
      <c r="G31" s="10" t="s">
        <v>369</v>
      </c>
      <c r="H31" s="10" t="s">
        <v>370</v>
      </c>
      <c r="I31" s="10" t="s">
        <v>371</v>
      </c>
      <c r="J31" s="11" t="s">
        <v>63</v>
      </c>
      <c r="K31" s="11" t="s">
        <v>64</v>
      </c>
      <c r="L31" s="11" t="s">
        <v>63</v>
      </c>
      <c r="M31" s="11" t="n">
        <v>4</v>
      </c>
      <c r="N31" s="11" t="n">
        <v>2</v>
      </c>
      <c r="O31" s="12" t="n">
        <f aca="false">IF(OR(M31="",N31=""),"",M31*N31)</f>
        <v>8</v>
      </c>
      <c r="P31" s="13" t="str">
        <f aca="false">IF(O31="","",IF(O31&lt;=4,"Low",IF(O31&lt;=9,"Medium",IF(O31&lt;=15,"High","Critical"))))</f>
        <v>Medium</v>
      </c>
      <c r="Q31" s="10" t="s">
        <v>372</v>
      </c>
      <c r="R31" s="10" t="s">
        <v>66</v>
      </c>
      <c r="S31" s="10" t="s">
        <v>373</v>
      </c>
      <c r="T31" s="10" t="s">
        <v>154</v>
      </c>
      <c r="U31" s="10" t="s">
        <v>102</v>
      </c>
      <c r="V31" s="11" t="n">
        <v>2</v>
      </c>
      <c r="W31" s="11" t="n">
        <v>2</v>
      </c>
      <c r="X31" s="12" t="n">
        <f aca="false">IF(OR(V31="",W31=""),"",V31*W31)</f>
        <v>4</v>
      </c>
      <c r="Y31" s="13" t="str">
        <f aca="false">IF(X31="","",IF(X31&lt;=4,"Low",IF(X31&lt;=9,"Medium",IF(X31&lt;=15,"High","Critical"))))</f>
        <v>Low</v>
      </c>
      <c r="Z31" s="10" t="s">
        <v>87</v>
      </c>
      <c r="AA31" s="10" t="s">
        <v>364</v>
      </c>
      <c r="AB31" s="10" t="s">
        <v>102</v>
      </c>
      <c r="AC31" s="10"/>
    </row>
    <row r="32" customFormat="false" ht="42" hidden="false" customHeight="true" outlineLevel="0" collapsed="false">
      <c r="A32" s="10" t="s">
        <v>374</v>
      </c>
      <c r="B32" s="10" t="s">
        <v>375</v>
      </c>
      <c r="C32" s="10" t="s">
        <v>106</v>
      </c>
      <c r="D32" s="10" t="s">
        <v>366</v>
      </c>
      <c r="E32" s="10" t="s">
        <v>376</v>
      </c>
      <c r="F32" s="10" t="s">
        <v>377</v>
      </c>
      <c r="G32" s="10" t="s">
        <v>378</v>
      </c>
      <c r="H32" s="10" t="s">
        <v>379</v>
      </c>
      <c r="I32" s="10" t="s">
        <v>380</v>
      </c>
      <c r="J32" s="11" t="s">
        <v>64</v>
      </c>
      <c r="K32" s="11" t="s">
        <v>64</v>
      </c>
      <c r="L32" s="11" t="s">
        <v>64</v>
      </c>
      <c r="M32" s="11" t="n">
        <v>3</v>
      </c>
      <c r="N32" s="11" t="n">
        <v>3</v>
      </c>
      <c r="O32" s="12" t="n">
        <f aca="false">IF(OR(M32="",N32=""),"",M32*N32)</f>
        <v>9</v>
      </c>
      <c r="P32" s="13" t="str">
        <f aca="false">IF(O32="","",IF(O32&lt;=4,"Low",IF(O32&lt;=9,"Medium",IF(O32&lt;=15,"High","Critical"))))</f>
        <v>Medium</v>
      </c>
      <c r="Q32" s="10" t="s">
        <v>381</v>
      </c>
      <c r="R32" s="10" t="s">
        <v>66</v>
      </c>
      <c r="S32" s="10" t="s">
        <v>382</v>
      </c>
      <c r="T32" s="10" t="s">
        <v>219</v>
      </c>
      <c r="U32" s="10" t="s">
        <v>209</v>
      </c>
      <c r="V32" s="11" t="n">
        <v>1</v>
      </c>
      <c r="W32" s="11" t="n">
        <v>2</v>
      </c>
      <c r="X32" s="12" t="n">
        <f aca="false">IF(OR(V32="",W32=""),"",V32*W32)</f>
        <v>2</v>
      </c>
      <c r="Y32" s="13" t="str">
        <f aca="false">IF(X32="","",IF(X32&lt;=4,"Low",IF(X32&lt;=9,"Medium",IF(X32&lt;=15,"High","Critical"))))</f>
        <v>Low</v>
      </c>
      <c r="Z32" s="10" t="s">
        <v>87</v>
      </c>
      <c r="AA32" s="10" t="s">
        <v>375</v>
      </c>
      <c r="AB32" s="10" t="s">
        <v>209</v>
      </c>
      <c r="AC32" s="10"/>
    </row>
    <row r="33" customFormat="false" ht="42" hidden="false" customHeight="true" outlineLevel="0" collapsed="false">
      <c r="A33" s="10" t="s">
        <v>383</v>
      </c>
      <c r="B33" s="10" t="s">
        <v>384</v>
      </c>
      <c r="C33" s="10" t="s">
        <v>106</v>
      </c>
      <c r="D33" s="10" t="s">
        <v>385</v>
      </c>
      <c r="E33" s="10" t="s">
        <v>386</v>
      </c>
      <c r="F33" s="10" t="s">
        <v>193</v>
      </c>
      <c r="G33" s="10" t="s">
        <v>387</v>
      </c>
      <c r="H33" s="10" t="s">
        <v>388</v>
      </c>
      <c r="I33" s="10" t="s">
        <v>389</v>
      </c>
      <c r="J33" s="11" t="s">
        <v>64</v>
      </c>
      <c r="K33" s="11" t="s">
        <v>63</v>
      </c>
      <c r="L33" s="11" t="s">
        <v>63</v>
      </c>
      <c r="M33" s="11" t="n">
        <v>4</v>
      </c>
      <c r="N33" s="11" t="n">
        <v>3</v>
      </c>
      <c r="O33" s="12" t="n">
        <f aca="false">IF(OR(M33="",N33=""),"",M33*N33)</f>
        <v>12</v>
      </c>
      <c r="P33" s="13" t="str">
        <f aca="false">IF(O33="","",IF(O33&lt;=4,"Low",IF(O33&lt;=9,"Medium",IF(O33&lt;=15,"High","Critical"))))</f>
        <v>High</v>
      </c>
      <c r="Q33" s="10" t="s">
        <v>390</v>
      </c>
      <c r="R33" s="10" t="s">
        <v>66</v>
      </c>
      <c r="S33" s="10" t="s">
        <v>391</v>
      </c>
      <c r="T33" s="10" t="s">
        <v>392</v>
      </c>
      <c r="U33" s="10" t="s">
        <v>115</v>
      </c>
      <c r="V33" s="11" t="n">
        <v>2</v>
      </c>
      <c r="W33" s="11" t="n">
        <v>2</v>
      </c>
      <c r="X33" s="12" t="n">
        <f aca="false">IF(OR(V33="",W33=""),"",V33*W33)</f>
        <v>4</v>
      </c>
      <c r="Y33" s="13" t="str">
        <f aca="false">IF(X33="","",IF(X33&lt;=4,"Low",IF(X33&lt;=9,"Medium",IF(X33&lt;=15,"High","Critical"))))</f>
        <v>Low</v>
      </c>
      <c r="Z33" s="10" t="s">
        <v>87</v>
      </c>
      <c r="AA33" s="10" t="s">
        <v>384</v>
      </c>
      <c r="AB33" s="10" t="s">
        <v>115</v>
      </c>
      <c r="AC33" s="10"/>
    </row>
    <row r="34" customFormat="false" ht="42" hidden="false" customHeight="true" outlineLevel="0" collapsed="false">
      <c r="A34" s="10" t="s">
        <v>393</v>
      </c>
      <c r="B34" s="10" t="s">
        <v>394</v>
      </c>
      <c r="C34" s="10" t="s">
        <v>395</v>
      </c>
      <c r="D34" s="10" t="s">
        <v>120</v>
      </c>
      <c r="E34" s="10" t="s">
        <v>302</v>
      </c>
      <c r="F34" s="10" t="s">
        <v>302</v>
      </c>
      <c r="G34" s="10" t="s">
        <v>396</v>
      </c>
      <c r="H34" s="10" t="s">
        <v>397</v>
      </c>
      <c r="I34" s="10" t="s">
        <v>398</v>
      </c>
      <c r="J34" s="11" t="s">
        <v>63</v>
      </c>
      <c r="K34" s="11" t="s">
        <v>64</v>
      </c>
      <c r="L34" s="11" t="s">
        <v>63</v>
      </c>
      <c r="M34" s="11" t="n">
        <v>2</v>
      </c>
      <c r="N34" s="11" t="n">
        <v>3</v>
      </c>
      <c r="O34" s="12" t="n">
        <f aca="false">IF(OR(M34="",N34=""),"",M34*N34)</f>
        <v>6</v>
      </c>
      <c r="P34" s="13" t="str">
        <f aca="false">IF(O34="","",IF(O34&lt;=4,"Low",IF(O34&lt;=9,"Medium",IF(O34&lt;=15,"High","Critical"))))</f>
        <v>Medium</v>
      </c>
      <c r="Q34" s="10" t="s">
        <v>83</v>
      </c>
      <c r="R34" s="10" t="s">
        <v>66</v>
      </c>
      <c r="S34" s="10" t="s">
        <v>399</v>
      </c>
      <c r="T34" s="10" t="s">
        <v>316</v>
      </c>
      <c r="U34" s="10" t="s">
        <v>400</v>
      </c>
      <c r="V34" s="11" t="n">
        <v>1</v>
      </c>
      <c r="W34" s="11" t="n">
        <v>2</v>
      </c>
      <c r="X34" s="12" t="n">
        <f aca="false">IF(OR(V34="",W34=""),"",V34*W34)</f>
        <v>2</v>
      </c>
      <c r="Y34" s="13" t="str">
        <f aca="false">IF(X34="","",IF(X34&lt;=4,"Low",IF(X34&lt;=9,"Medium",IF(X34&lt;=15,"High","Critical"))))</f>
        <v>Low</v>
      </c>
      <c r="Z34" s="10" t="s">
        <v>87</v>
      </c>
      <c r="AA34" s="10" t="s">
        <v>394</v>
      </c>
      <c r="AB34" s="10" t="s">
        <v>400</v>
      </c>
      <c r="AC34" s="10"/>
    </row>
    <row r="35" customFormat="false" ht="42" hidden="false" customHeight="true" outlineLevel="0" collapsed="false">
      <c r="A35" s="10" t="s">
        <v>401</v>
      </c>
      <c r="B35" s="10" t="s">
        <v>155</v>
      </c>
      <c r="C35" s="10" t="s">
        <v>106</v>
      </c>
      <c r="D35" s="10" t="s">
        <v>402</v>
      </c>
      <c r="E35" s="10" t="s">
        <v>403</v>
      </c>
      <c r="F35" s="10" t="s">
        <v>148</v>
      </c>
      <c r="G35" s="10" t="s">
        <v>404</v>
      </c>
      <c r="H35" s="10" t="s">
        <v>405</v>
      </c>
      <c r="I35" s="10" t="s">
        <v>406</v>
      </c>
      <c r="J35" s="11" t="s">
        <v>63</v>
      </c>
      <c r="K35" s="11" t="s">
        <v>63</v>
      </c>
      <c r="L35" s="11" t="s">
        <v>63</v>
      </c>
      <c r="M35" s="11" t="n">
        <v>3</v>
      </c>
      <c r="N35" s="11" t="n">
        <v>3</v>
      </c>
      <c r="O35" s="12" t="n">
        <f aca="false">IF(OR(M35="",N35=""),"",M35*N35)</f>
        <v>9</v>
      </c>
      <c r="P35" s="13" t="str">
        <f aca="false">IF(O35="","",IF(O35&lt;=4,"Low",IF(O35&lt;=9,"Medium",IF(O35&lt;=15,"High","Critical"))))</f>
        <v>Medium</v>
      </c>
      <c r="Q35" s="10" t="s">
        <v>83</v>
      </c>
      <c r="R35" s="10" t="s">
        <v>66</v>
      </c>
      <c r="S35" s="10" t="s">
        <v>407</v>
      </c>
      <c r="T35" s="10" t="s">
        <v>175</v>
      </c>
      <c r="U35" s="10" t="s">
        <v>408</v>
      </c>
      <c r="V35" s="11" t="n">
        <v>2</v>
      </c>
      <c r="W35" s="11" t="n">
        <v>2</v>
      </c>
      <c r="X35" s="12" t="n">
        <f aca="false">IF(OR(V35="",W35=""),"",V35*W35)</f>
        <v>4</v>
      </c>
      <c r="Y35" s="13" t="str">
        <f aca="false">IF(X35="","",IF(X35&lt;=4,"Low",IF(X35&lt;=9,"Medium",IF(X35&lt;=15,"High","Critical"))))</f>
        <v>Low</v>
      </c>
      <c r="Z35" s="10" t="s">
        <v>87</v>
      </c>
      <c r="AA35" s="10" t="s">
        <v>155</v>
      </c>
      <c r="AB35" s="10" t="s">
        <v>408</v>
      </c>
      <c r="AC35" s="10"/>
    </row>
    <row r="36" customFormat="false" ht="42" hidden="false" customHeight="true" outlineLevel="0" collapsed="false">
      <c r="A36" s="10" t="s">
        <v>409</v>
      </c>
      <c r="B36" s="10" t="s">
        <v>410</v>
      </c>
      <c r="C36" s="10" t="s">
        <v>106</v>
      </c>
      <c r="D36" s="10" t="s">
        <v>411</v>
      </c>
      <c r="E36" s="10" t="s">
        <v>121</v>
      </c>
      <c r="F36" s="10" t="s">
        <v>412</v>
      </c>
      <c r="G36" s="10" t="s">
        <v>413</v>
      </c>
      <c r="H36" s="10" t="s">
        <v>414</v>
      </c>
      <c r="I36" s="10" t="s">
        <v>415</v>
      </c>
      <c r="J36" s="11" t="s">
        <v>63</v>
      </c>
      <c r="K36" s="11" t="s">
        <v>63</v>
      </c>
      <c r="L36" s="11" t="s">
        <v>63</v>
      </c>
      <c r="M36" s="11" t="n">
        <v>3</v>
      </c>
      <c r="N36" s="11" t="n">
        <v>3</v>
      </c>
      <c r="O36" s="12" t="n">
        <f aca="false">IF(OR(M36="",N36=""),"",M36*N36)</f>
        <v>9</v>
      </c>
      <c r="P36" s="13" t="str">
        <f aca="false">IF(O36="","",IF(O36&lt;=4,"Low",IF(O36&lt;=9,"Medium",IF(O36&lt;=15,"High","Critical"))))</f>
        <v>Medium</v>
      </c>
      <c r="Q36" s="10" t="s">
        <v>416</v>
      </c>
      <c r="R36" s="10" t="s">
        <v>66</v>
      </c>
      <c r="S36" s="10" t="s">
        <v>417</v>
      </c>
      <c r="T36" s="10" t="s">
        <v>154</v>
      </c>
      <c r="U36" s="10" t="s">
        <v>69</v>
      </c>
      <c r="V36" s="11" t="n">
        <v>1</v>
      </c>
      <c r="W36" s="11" t="n">
        <v>2</v>
      </c>
      <c r="X36" s="12" t="n">
        <f aca="false">IF(OR(V36="",W36=""),"",V36*W36)</f>
        <v>2</v>
      </c>
      <c r="Y36" s="13" t="str">
        <f aca="false">IF(X36="","",IF(X36&lt;=4,"Low",IF(X36&lt;=9,"Medium",IF(X36&lt;=15,"High","Critical"))))</f>
        <v>Low</v>
      </c>
      <c r="Z36" s="10" t="s">
        <v>87</v>
      </c>
      <c r="AA36" s="10" t="s">
        <v>410</v>
      </c>
      <c r="AB36" s="10" t="s">
        <v>69</v>
      </c>
      <c r="AC36" s="10"/>
    </row>
    <row r="37" customFormat="false" ht="42" hidden="false" customHeight="true" outlineLevel="0" collapsed="false">
      <c r="A37" s="10" t="s">
        <v>418</v>
      </c>
      <c r="B37" s="10" t="s">
        <v>419</v>
      </c>
      <c r="C37" s="10" t="s">
        <v>420</v>
      </c>
      <c r="D37" s="10" t="s">
        <v>76</v>
      </c>
      <c r="E37" s="10" t="s">
        <v>421</v>
      </c>
      <c r="F37" s="10" t="s">
        <v>78</v>
      </c>
      <c r="G37" s="10" t="s">
        <v>422</v>
      </c>
      <c r="H37" s="10" t="s">
        <v>423</v>
      </c>
      <c r="I37" s="10" t="s">
        <v>424</v>
      </c>
      <c r="J37" s="11" t="s">
        <v>64</v>
      </c>
      <c r="K37" s="11" t="s">
        <v>82</v>
      </c>
      <c r="L37" s="11" t="s">
        <v>63</v>
      </c>
      <c r="M37" s="11" t="n">
        <v>3</v>
      </c>
      <c r="N37" s="11" t="n">
        <v>4</v>
      </c>
      <c r="O37" s="12" t="n">
        <f aca="false">IF(OR(M37="",N37=""),"",M37*N37)</f>
        <v>12</v>
      </c>
      <c r="P37" s="13" t="str">
        <f aca="false">IF(O37="","",IF(O37&lt;=4,"Low",IF(O37&lt;=9,"Medium",IF(O37&lt;=15,"High","Critical"))))</f>
        <v>High</v>
      </c>
      <c r="Q37" s="10" t="s">
        <v>425</v>
      </c>
      <c r="R37" s="10" t="s">
        <v>66</v>
      </c>
      <c r="S37" s="10" t="s">
        <v>426</v>
      </c>
      <c r="T37" s="10" t="s">
        <v>427</v>
      </c>
      <c r="U37" s="10" t="s">
        <v>428</v>
      </c>
      <c r="V37" s="11" t="n">
        <v>1</v>
      </c>
      <c r="W37" s="11" t="n">
        <v>3</v>
      </c>
      <c r="X37" s="12" t="n">
        <f aca="false">IF(OR(V37="",W37=""),"",V37*W37)</f>
        <v>3</v>
      </c>
      <c r="Y37" s="13" t="str">
        <f aca="false">IF(X37="","",IF(X37&lt;=4,"Low",IF(X37&lt;=9,"Medium",IF(X37&lt;=15,"High","Critical"))))</f>
        <v>Low</v>
      </c>
      <c r="Z37" s="10" t="s">
        <v>87</v>
      </c>
      <c r="AA37" s="10" t="s">
        <v>419</v>
      </c>
      <c r="AB37" s="10" t="s">
        <v>428</v>
      </c>
      <c r="AC37" s="10"/>
    </row>
    <row r="38" customFormat="false" ht="42" hidden="false" customHeight="true" outlineLevel="0" collapsed="false">
      <c r="A38" s="10" t="s">
        <v>429</v>
      </c>
      <c r="B38" s="10" t="s">
        <v>430</v>
      </c>
      <c r="C38" s="10" t="s">
        <v>106</v>
      </c>
      <c r="D38" s="10" t="s">
        <v>431</v>
      </c>
      <c r="E38" s="10" t="s">
        <v>320</v>
      </c>
      <c r="F38" s="10" t="s">
        <v>169</v>
      </c>
      <c r="G38" s="10" t="s">
        <v>432</v>
      </c>
      <c r="H38" s="10" t="s">
        <v>433</v>
      </c>
      <c r="I38" s="10" t="s">
        <v>434</v>
      </c>
      <c r="J38" s="11" t="s">
        <v>63</v>
      </c>
      <c r="K38" s="11" t="s">
        <v>64</v>
      </c>
      <c r="L38" s="11" t="s">
        <v>63</v>
      </c>
      <c r="M38" s="11" t="n">
        <v>3</v>
      </c>
      <c r="N38" s="11" t="n">
        <v>3</v>
      </c>
      <c r="O38" s="12" t="n">
        <f aca="false">IF(OR(M38="",N38=""),"",M38*N38)</f>
        <v>9</v>
      </c>
      <c r="P38" s="13" t="str">
        <f aca="false">IF(O38="","",IF(O38&lt;=4,"Low",IF(O38&lt;=9,"Medium",IF(O38&lt;=15,"High","Critical"))))</f>
        <v>Medium</v>
      </c>
      <c r="Q38" s="10" t="s">
        <v>435</v>
      </c>
      <c r="R38" s="10" t="s">
        <v>66</v>
      </c>
      <c r="S38" s="10" t="s">
        <v>436</v>
      </c>
      <c r="T38" s="10" t="s">
        <v>175</v>
      </c>
      <c r="U38" s="10" t="s">
        <v>103</v>
      </c>
      <c r="V38" s="11" t="n">
        <v>1</v>
      </c>
      <c r="W38" s="11" t="n">
        <v>2</v>
      </c>
      <c r="X38" s="12" t="n">
        <f aca="false">IF(OR(V38="",W38=""),"",V38*W38)</f>
        <v>2</v>
      </c>
      <c r="Y38" s="13" t="str">
        <f aca="false">IF(X38="","",IF(X38&lt;=4,"Low",IF(X38&lt;=9,"Medium",IF(X38&lt;=15,"High","Critical"))))</f>
        <v>Low</v>
      </c>
      <c r="Z38" s="10" t="s">
        <v>87</v>
      </c>
      <c r="AA38" s="10" t="s">
        <v>430</v>
      </c>
      <c r="AB38" s="10" t="s">
        <v>103</v>
      </c>
      <c r="AC38" s="10"/>
    </row>
    <row r="39" customFormat="false" ht="42" hidden="false" customHeight="true" outlineLevel="0" collapsed="false">
      <c r="A39" s="10" t="s">
        <v>437</v>
      </c>
      <c r="B39" s="10" t="s">
        <v>438</v>
      </c>
      <c r="C39" s="10" t="s">
        <v>439</v>
      </c>
      <c r="D39" s="10" t="s">
        <v>107</v>
      </c>
      <c r="E39" s="10" t="s">
        <v>94</v>
      </c>
      <c r="F39" s="10" t="s">
        <v>108</v>
      </c>
      <c r="G39" s="10" t="s">
        <v>440</v>
      </c>
      <c r="H39" s="10" t="s">
        <v>441</v>
      </c>
      <c r="I39" s="10" t="s">
        <v>442</v>
      </c>
      <c r="J39" s="11" t="s">
        <v>64</v>
      </c>
      <c r="K39" s="11" t="s">
        <v>82</v>
      </c>
      <c r="L39" s="11" t="s">
        <v>64</v>
      </c>
      <c r="M39" s="11" t="n">
        <v>2</v>
      </c>
      <c r="N39" s="11" t="n">
        <v>4</v>
      </c>
      <c r="O39" s="12" t="n">
        <f aca="false">IF(OR(M39="",N39=""),"",M39*N39)</f>
        <v>8</v>
      </c>
      <c r="P39" s="13" t="str">
        <f aca="false">IF(O39="","",IF(O39&lt;=4,"Low",IF(O39&lt;=9,"Medium",IF(O39&lt;=15,"High","Critical"))))</f>
        <v>Medium</v>
      </c>
      <c r="Q39" s="10" t="s">
        <v>443</v>
      </c>
      <c r="R39" s="10" t="s">
        <v>66</v>
      </c>
      <c r="S39" s="10" t="s">
        <v>444</v>
      </c>
      <c r="T39" s="10" t="s">
        <v>445</v>
      </c>
      <c r="U39" s="10" t="s">
        <v>446</v>
      </c>
      <c r="V39" s="11" t="n">
        <v>1</v>
      </c>
      <c r="W39" s="11" t="n">
        <v>3</v>
      </c>
      <c r="X39" s="12" t="n">
        <f aca="false">IF(OR(V39="",W39=""),"",V39*W39)</f>
        <v>3</v>
      </c>
      <c r="Y39" s="13" t="str">
        <f aca="false">IF(X39="","",IF(X39&lt;=4,"Low",IF(X39&lt;=9,"Medium",IF(X39&lt;=15,"High","Critical"))))</f>
        <v>Low</v>
      </c>
      <c r="Z39" s="10" t="s">
        <v>87</v>
      </c>
      <c r="AA39" s="10" t="s">
        <v>438</v>
      </c>
      <c r="AB39" s="10" t="s">
        <v>446</v>
      </c>
      <c r="AC39" s="10"/>
    </row>
    <row r="40" customFormat="false" ht="42" hidden="false" customHeight="true" outlineLevel="0" collapsed="false">
      <c r="A40" s="10" t="s">
        <v>447</v>
      </c>
      <c r="B40" s="10" t="s">
        <v>448</v>
      </c>
      <c r="C40" s="10" t="s">
        <v>106</v>
      </c>
      <c r="D40" s="10" t="s">
        <v>449</v>
      </c>
      <c r="E40" s="10" t="s">
        <v>450</v>
      </c>
      <c r="F40" s="10" t="s">
        <v>95</v>
      </c>
      <c r="G40" s="10" t="s">
        <v>451</v>
      </c>
      <c r="H40" s="10" t="s">
        <v>452</v>
      </c>
      <c r="I40" s="10" t="s">
        <v>453</v>
      </c>
      <c r="J40" s="11" t="s">
        <v>64</v>
      </c>
      <c r="K40" s="11" t="s">
        <v>82</v>
      </c>
      <c r="L40" s="11" t="s">
        <v>64</v>
      </c>
      <c r="M40" s="11" t="n">
        <v>3</v>
      </c>
      <c r="N40" s="11" t="n">
        <v>3</v>
      </c>
      <c r="O40" s="12" t="n">
        <f aca="false">IF(OR(M40="",N40=""),"",M40*N40)</f>
        <v>9</v>
      </c>
      <c r="P40" s="13" t="str">
        <f aca="false">IF(O40="","",IF(O40&lt;=4,"Low",IF(O40&lt;=9,"Medium",IF(O40&lt;=15,"High","Critical"))))</f>
        <v>Medium</v>
      </c>
      <c r="Q40" s="10" t="s">
        <v>454</v>
      </c>
      <c r="R40" s="10" t="s">
        <v>66</v>
      </c>
      <c r="S40" s="10" t="s">
        <v>455</v>
      </c>
      <c r="T40" s="10" t="s">
        <v>101</v>
      </c>
      <c r="U40" s="10" t="s">
        <v>71</v>
      </c>
      <c r="V40" s="11" t="n">
        <v>1</v>
      </c>
      <c r="W40" s="11" t="n">
        <v>2</v>
      </c>
      <c r="X40" s="12" t="n">
        <f aca="false">IF(OR(V40="",W40=""),"",V40*W40)</f>
        <v>2</v>
      </c>
      <c r="Y40" s="13" t="str">
        <f aca="false">IF(X40="","",IF(X40&lt;=4,"Low",IF(X40&lt;=9,"Medium",IF(X40&lt;=15,"High","Critical"))))</f>
        <v>Low</v>
      </c>
      <c r="Z40" s="10" t="s">
        <v>87</v>
      </c>
      <c r="AA40" s="10" t="s">
        <v>448</v>
      </c>
      <c r="AB40" s="10" t="s">
        <v>71</v>
      </c>
      <c r="AC40" s="10"/>
    </row>
    <row r="41" customFormat="false" ht="42" hidden="false" customHeight="true" outlineLevel="0" collapsed="false">
      <c r="A41" s="10" t="s">
        <v>456</v>
      </c>
      <c r="B41" s="10" t="s">
        <v>457</v>
      </c>
      <c r="C41" s="10" t="s">
        <v>458</v>
      </c>
      <c r="D41" s="10" t="s">
        <v>338</v>
      </c>
      <c r="E41" s="10" t="s">
        <v>236</v>
      </c>
      <c r="F41" s="10" t="s">
        <v>459</v>
      </c>
      <c r="G41" s="10" t="s">
        <v>460</v>
      </c>
      <c r="H41" s="10" t="s">
        <v>461</v>
      </c>
      <c r="I41" s="10" t="s">
        <v>462</v>
      </c>
      <c r="J41" s="11" t="s">
        <v>64</v>
      </c>
      <c r="K41" s="11" t="s">
        <v>64</v>
      </c>
      <c r="L41" s="11" t="s">
        <v>63</v>
      </c>
      <c r="M41" s="11" t="n">
        <v>3</v>
      </c>
      <c r="N41" s="11" t="n">
        <v>4</v>
      </c>
      <c r="O41" s="12" t="n">
        <f aca="false">IF(OR(M41="",N41=""),"",M41*N41)</f>
        <v>12</v>
      </c>
      <c r="P41" s="13" t="str">
        <f aca="false">IF(O41="","",IF(O41&lt;=4,"Low",IF(O41&lt;=9,"Medium",IF(O41&lt;=15,"High","Critical"))))</f>
        <v>High</v>
      </c>
      <c r="Q41" s="10" t="s">
        <v>463</v>
      </c>
      <c r="R41" s="10" t="s">
        <v>66</v>
      </c>
      <c r="S41" s="10" t="s">
        <v>464</v>
      </c>
      <c r="T41" s="10" t="s">
        <v>316</v>
      </c>
      <c r="U41" s="10" t="s">
        <v>327</v>
      </c>
      <c r="V41" s="11" t="n">
        <v>2</v>
      </c>
      <c r="W41" s="11" t="n">
        <v>3</v>
      </c>
      <c r="X41" s="12" t="n">
        <f aca="false">IF(OR(V41="",W41=""),"",V41*W41)</f>
        <v>6</v>
      </c>
      <c r="Y41" s="13" t="str">
        <f aca="false">IF(X41="","",IF(X41&lt;=4,"Low",IF(X41&lt;=9,"Medium",IF(X41&lt;=15,"High","Critical"))))</f>
        <v>Medium</v>
      </c>
      <c r="Z41" s="10" t="s">
        <v>87</v>
      </c>
      <c r="AA41" s="10" t="s">
        <v>457</v>
      </c>
      <c r="AB41" s="10" t="s">
        <v>327</v>
      </c>
      <c r="AC41" s="10"/>
    </row>
    <row r="42" customFormat="false" ht="42" hidden="false" customHeight="true" outlineLevel="0" collapsed="false">
      <c r="A42" s="10" t="s">
        <v>465</v>
      </c>
      <c r="B42" s="10" t="s">
        <v>466</v>
      </c>
      <c r="C42" s="10" t="s">
        <v>106</v>
      </c>
      <c r="D42" s="10" t="s">
        <v>191</v>
      </c>
      <c r="E42" s="10" t="s">
        <v>192</v>
      </c>
      <c r="F42" s="10" t="s">
        <v>467</v>
      </c>
      <c r="G42" s="10" t="s">
        <v>468</v>
      </c>
      <c r="H42" s="10" t="s">
        <v>469</v>
      </c>
      <c r="I42" s="10" t="s">
        <v>470</v>
      </c>
      <c r="J42" s="11" t="s">
        <v>63</v>
      </c>
      <c r="K42" s="11" t="s">
        <v>63</v>
      </c>
      <c r="L42" s="11" t="s">
        <v>82</v>
      </c>
      <c r="M42" s="11" t="n">
        <v>3</v>
      </c>
      <c r="N42" s="11" t="n">
        <v>2</v>
      </c>
      <c r="O42" s="12" t="n">
        <f aca="false">IF(OR(M42="",N42=""),"",M42*N42)</f>
        <v>6</v>
      </c>
      <c r="P42" s="13" t="str">
        <f aca="false">IF(O42="","",IF(O42&lt;=4,"Low",IF(O42&lt;=9,"Medium",IF(O42&lt;=15,"High","Critical"))))</f>
        <v>Medium</v>
      </c>
      <c r="Q42" s="10" t="s">
        <v>471</v>
      </c>
      <c r="R42" s="10" t="s">
        <v>66</v>
      </c>
      <c r="S42" s="10" t="s">
        <v>472</v>
      </c>
      <c r="T42" s="10" t="s">
        <v>242</v>
      </c>
      <c r="U42" s="10" t="s">
        <v>473</v>
      </c>
      <c r="V42" s="11" t="n">
        <v>1</v>
      </c>
      <c r="W42" s="11" t="n">
        <v>2</v>
      </c>
      <c r="X42" s="12" t="n">
        <f aca="false">IF(OR(V42="",W42=""),"",V42*W42)</f>
        <v>2</v>
      </c>
      <c r="Y42" s="13" t="str">
        <f aca="false">IF(X42="","",IF(X42&lt;=4,"Low",IF(X42&lt;=9,"Medium",IF(X42&lt;=15,"High","Critical"))))</f>
        <v>Low</v>
      </c>
      <c r="Z42" s="10" t="s">
        <v>87</v>
      </c>
      <c r="AA42" s="10" t="s">
        <v>466</v>
      </c>
      <c r="AB42" s="10" t="s">
        <v>473</v>
      </c>
      <c r="AC42" s="10"/>
    </row>
    <row r="43" customFormat="false" ht="42" hidden="false" customHeight="true" outlineLevel="0" collapsed="false">
      <c r="A43" s="10" t="s">
        <v>474</v>
      </c>
      <c r="B43" s="10" t="s">
        <v>86</v>
      </c>
      <c r="C43" s="10" t="s">
        <v>106</v>
      </c>
      <c r="D43" s="10" t="s">
        <v>475</v>
      </c>
      <c r="E43" s="10" t="s">
        <v>310</v>
      </c>
      <c r="F43" s="10" t="s">
        <v>476</v>
      </c>
      <c r="G43" s="10" t="s">
        <v>477</v>
      </c>
      <c r="H43" s="10" t="s">
        <v>478</v>
      </c>
      <c r="I43" s="10" t="s">
        <v>479</v>
      </c>
      <c r="J43" s="11" t="s">
        <v>63</v>
      </c>
      <c r="K43" s="11" t="s">
        <v>63</v>
      </c>
      <c r="L43" s="11" t="s">
        <v>63</v>
      </c>
      <c r="M43" s="11" t="n">
        <v>2</v>
      </c>
      <c r="N43" s="11" t="n">
        <v>3</v>
      </c>
      <c r="O43" s="12" t="n">
        <f aca="false">IF(OR(M43="",N43=""),"",M43*N43)</f>
        <v>6</v>
      </c>
      <c r="P43" s="13" t="str">
        <f aca="false">IF(O43="","",IF(O43&lt;=4,"Low",IF(O43&lt;=9,"Medium",IF(O43&lt;=15,"High","Critical"))))</f>
        <v>Medium</v>
      </c>
      <c r="Q43" s="10" t="s">
        <v>480</v>
      </c>
      <c r="R43" s="10" t="s">
        <v>66</v>
      </c>
      <c r="S43" s="10" t="s">
        <v>481</v>
      </c>
      <c r="T43" s="10" t="s">
        <v>175</v>
      </c>
      <c r="U43" s="10" t="s">
        <v>428</v>
      </c>
      <c r="V43" s="11" t="n">
        <v>1</v>
      </c>
      <c r="W43" s="11" t="n">
        <v>2</v>
      </c>
      <c r="X43" s="12" t="n">
        <f aca="false">IF(OR(V43="",W43=""),"",V43*W43)</f>
        <v>2</v>
      </c>
      <c r="Y43" s="13" t="str">
        <f aca="false">IF(X43="","",IF(X43&lt;=4,"Low",IF(X43&lt;=9,"Medium",IF(X43&lt;=15,"High","Critical"))))</f>
        <v>Low</v>
      </c>
      <c r="Z43" s="10" t="s">
        <v>87</v>
      </c>
      <c r="AA43" s="10" t="s">
        <v>86</v>
      </c>
      <c r="AB43" s="10" t="s">
        <v>428</v>
      </c>
      <c r="AC43" s="10"/>
    </row>
    <row r="44" customFormat="false" ht="42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5"/>
      <c r="K44" s="15"/>
      <c r="L44" s="15"/>
      <c r="M44" s="15"/>
      <c r="N44" s="15"/>
      <c r="O44" s="12" t="str">
        <f aca="false">IF(OR(M44="",N44=""),"",M44*N44)</f>
        <v/>
      </c>
      <c r="P44" s="13" t="str">
        <f aca="false">IF(O44="","",IF(O44&lt;=4,"Low",IF(O44&lt;=9,"Medium",IF(O44&lt;=15,"High","Critical"))))</f>
        <v/>
      </c>
      <c r="Q44" s="14"/>
      <c r="R44" s="14"/>
      <c r="S44" s="14"/>
      <c r="T44" s="14"/>
      <c r="U44" s="14"/>
      <c r="V44" s="15"/>
      <c r="W44" s="15"/>
      <c r="X44" s="12" t="str">
        <f aca="false">IF(OR(V44="",W44=""),"",V44*W44)</f>
        <v/>
      </c>
      <c r="Y44" s="13" t="str">
        <f aca="false">IF(X44="","",IF(X44&lt;=4,"Low",IF(X44&lt;=9,"Medium",IF(X44&lt;=15,"High","Critical"))))</f>
        <v/>
      </c>
      <c r="Z44" s="14"/>
      <c r="AA44" s="14"/>
      <c r="AB44" s="14"/>
      <c r="AC44" s="14"/>
    </row>
    <row r="45" customFormat="false" ht="42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5"/>
      <c r="K45" s="15"/>
      <c r="L45" s="15"/>
      <c r="M45" s="15"/>
      <c r="N45" s="15"/>
      <c r="O45" s="12" t="str">
        <f aca="false">IF(OR(M45="",N45=""),"",M45*N45)</f>
        <v/>
      </c>
      <c r="P45" s="13" t="str">
        <f aca="false">IF(O45="","",IF(O45&lt;=4,"Low",IF(O45&lt;=9,"Medium",IF(O45&lt;=15,"High","Critical"))))</f>
        <v/>
      </c>
      <c r="Q45" s="14"/>
      <c r="R45" s="14"/>
      <c r="S45" s="14"/>
      <c r="T45" s="14"/>
      <c r="U45" s="14"/>
      <c r="V45" s="15"/>
      <c r="W45" s="15"/>
      <c r="X45" s="12" t="str">
        <f aca="false">IF(OR(V45="",W45=""),"",V45*W45)</f>
        <v/>
      </c>
      <c r="Y45" s="13" t="str">
        <f aca="false">IF(X45="","",IF(X45&lt;=4,"Low",IF(X45&lt;=9,"Medium",IF(X45&lt;=15,"High","Critical"))))</f>
        <v/>
      </c>
      <c r="Z45" s="14"/>
      <c r="AA45" s="14"/>
      <c r="AB45" s="14"/>
      <c r="AC45" s="14"/>
    </row>
    <row r="46" customFormat="false" ht="42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5"/>
      <c r="K46" s="15"/>
      <c r="L46" s="15"/>
      <c r="M46" s="15"/>
      <c r="N46" s="15"/>
      <c r="O46" s="12" t="str">
        <f aca="false">IF(OR(M46="",N46=""),"",M46*N46)</f>
        <v/>
      </c>
      <c r="P46" s="13" t="str">
        <f aca="false">IF(O46="","",IF(O46&lt;=4,"Low",IF(O46&lt;=9,"Medium",IF(O46&lt;=15,"High","Critical"))))</f>
        <v/>
      </c>
      <c r="Q46" s="14"/>
      <c r="R46" s="14"/>
      <c r="S46" s="14"/>
      <c r="T46" s="14"/>
      <c r="U46" s="14"/>
      <c r="V46" s="15"/>
      <c r="W46" s="15"/>
      <c r="X46" s="12" t="str">
        <f aca="false">IF(OR(V46="",W46=""),"",V46*W46)</f>
        <v/>
      </c>
      <c r="Y46" s="13" t="str">
        <f aca="false">IF(X46="","",IF(X46&lt;=4,"Low",IF(X46&lt;=9,"Medium",IF(X46&lt;=15,"High","Critical"))))</f>
        <v/>
      </c>
      <c r="Z46" s="14"/>
      <c r="AA46" s="14"/>
      <c r="AB46" s="14"/>
      <c r="AC46" s="14"/>
    </row>
    <row r="47" customFormat="false" ht="42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5"/>
      <c r="K47" s="15"/>
      <c r="L47" s="15"/>
      <c r="M47" s="15"/>
      <c r="N47" s="15"/>
      <c r="O47" s="12" t="str">
        <f aca="false">IF(OR(M47="",N47=""),"",M47*N47)</f>
        <v/>
      </c>
      <c r="P47" s="13" t="str">
        <f aca="false">IF(O47="","",IF(O47&lt;=4,"Low",IF(O47&lt;=9,"Medium",IF(O47&lt;=15,"High","Critical"))))</f>
        <v/>
      </c>
      <c r="Q47" s="14"/>
      <c r="R47" s="14"/>
      <c r="S47" s="14"/>
      <c r="T47" s="14"/>
      <c r="U47" s="14"/>
      <c r="V47" s="15"/>
      <c r="W47" s="15"/>
      <c r="X47" s="12" t="str">
        <f aca="false">IF(OR(V47="",W47=""),"",V47*W47)</f>
        <v/>
      </c>
      <c r="Y47" s="13" t="str">
        <f aca="false">IF(X47="","",IF(X47&lt;=4,"Low",IF(X47&lt;=9,"Medium",IF(X47&lt;=15,"High","Critical"))))</f>
        <v/>
      </c>
      <c r="Z47" s="14"/>
      <c r="AA47" s="14"/>
      <c r="AB47" s="14"/>
      <c r="AC47" s="14"/>
    </row>
    <row r="48" customFormat="false" ht="42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5"/>
      <c r="K48" s="15"/>
      <c r="L48" s="15"/>
      <c r="M48" s="15"/>
      <c r="N48" s="15"/>
      <c r="O48" s="12" t="str">
        <f aca="false">IF(OR(M48="",N48=""),"",M48*N48)</f>
        <v/>
      </c>
      <c r="P48" s="13" t="str">
        <f aca="false">IF(O48="","",IF(O48&lt;=4,"Low",IF(O48&lt;=9,"Medium",IF(O48&lt;=15,"High","Critical"))))</f>
        <v/>
      </c>
      <c r="Q48" s="14"/>
      <c r="R48" s="14"/>
      <c r="S48" s="14"/>
      <c r="T48" s="14"/>
      <c r="U48" s="14"/>
      <c r="V48" s="15"/>
      <c r="W48" s="15"/>
      <c r="X48" s="12" t="str">
        <f aca="false">IF(OR(V48="",W48=""),"",V48*W48)</f>
        <v/>
      </c>
      <c r="Y48" s="13" t="str">
        <f aca="false">IF(X48="","",IF(X48&lt;=4,"Low",IF(X48&lt;=9,"Medium",IF(X48&lt;=15,"High","Critical"))))</f>
        <v/>
      </c>
      <c r="Z48" s="14"/>
      <c r="AA48" s="14"/>
      <c r="AB48" s="14"/>
      <c r="AC48" s="14"/>
    </row>
    <row r="49" customFormat="false" ht="42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5"/>
      <c r="K49" s="15"/>
      <c r="L49" s="15"/>
      <c r="M49" s="15"/>
      <c r="N49" s="15"/>
      <c r="O49" s="12" t="str">
        <f aca="false">IF(OR(M49="",N49=""),"",M49*N49)</f>
        <v/>
      </c>
      <c r="P49" s="13" t="str">
        <f aca="false">IF(O49="","",IF(O49&lt;=4,"Low",IF(O49&lt;=9,"Medium",IF(O49&lt;=15,"High","Critical"))))</f>
        <v/>
      </c>
      <c r="Q49" s="14"/>
      <c r="R49" s="14"/>
      <c r="S49" s="14"/>
      <c r="T49" s="14"/>
      <c r="U49" s="14"/>
      <c r="V49" s="15"/>
      <c r="W49" s="15"/>
      <c r="X49" s="12" t="str">
        <f aca="false">IF(OR(V49="",W49=""),"",V49*W49)</f>
        <v/>
      </c>
      <c r="Y49" s="13" t="str">
        <f aca="false">IF(X49="","",IF(X49&lt;=4,"Low",IF(X49&lt;=9,"Medium",IF(X49&lt;=15,"High","Critical"))))</f>
        <v/>
      </c>
      <c r="Z49" s="14"/>
      <c r="AA49" s="14"/>
      <c r="AB49" s="14"/>
      <c r="AC49" s="14"/>
    </row>
    <row r="50" customFormat="false" ht="42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5"/>
      <c r="K50" s="15"/>
      <c r="L50" s="15"/>
      <c r="M50" s="15"/>
      <c r="N50" s="15"/>
      <c r="O50" s="12" t="str">
        <f aca="false">IF(OR(M50="",N50=""),"",M50*N50)</f>
        <v/>
      </c>
      <c r="P50" s="13" t="str">
        <f aca="false">IF(O50="","",IF(O50&lt;=4,"Low",IF(O50&lt;=9,"Medium",IF(O50&lt;=15,"High","Critical"))))</f>
        <v/>
      </c>
      <c r="Q50" s="14"/>
      <c r="R50" s="14"/>
      <c r="S50" s="14"/>
      <c r="T50" s="14"/>
      <c r="U50" s="14"/>
      <c r="V50" s="15"/>
      <c r="W50" s="15"/>
      <c r="X50" s="12" t="str">
        <f aca="false">IF(OR(V50="",W50=""),"",V50*W50)</f>
        <v/>
      </c>
      <c r="Y50" s="13" t="str">
        <f aca="false">IF(X50="","",IF(X50&lt;=4,"Low",IF(X50&lt;=9,"Medium",IF(X50&lt;=15,"High","Critical"))))</f>
        <v/>
      </c>
      <c r="Z50" s="14"/>
      <c r="AA50" s="14"/>
      <c r="AB50" s="14"/>
      <c r="AC50" s="14"/>
    </row>
    <row r="51" customFormat="false" ht="42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5"/>
      <c r="K51" s="15"/>
      <c r="L51" s="15"/>
      <c r="M51" s="15"/>
      <c r="N51" s="15"/>
      <c r="O51" s="12" t="str">
        <f aca="false">IF(OR(M51="",N51=""),"",M51*N51)</f>
        <v/>
      </c>
      <c r="P51" s="13" t="str">
        <f aca="false">IF(O51="","",IF(O51&lt;=4,"Low",IF(O51&lt;=9,"Medium",IF(O51&lt;=15,"High","Critical"))))</f>
        <v/>
      </c>
      <c r="Q51" s="14"/>
      <c r="R51" s="14"/>
      <c r="S51" s="14"/>
      <c r="T51" s="14"/>
      <c r="U51" s="14"/>
      <c r="V51" s="15"/>
      <c r="W51" s="15"/>
      <c r="X51" s="12" t="str">
        <f aca="false">IF(OR(V51="",W51=""),"",V51*W51)</f>
        <v/>
      </c>
      <c r="Y51" s="13" t="str">
        <f aca="false">IF(X51="","",IF(X51&lt;=4,"Low",IF(X51&lt;=9,"Medium",IF(X51&lt;=15,"High","Critical"))))</f>
        <v/>
      </c>
      <c r="Z51" s="14"/>
      <c r="AA51" s="14"/>
      <c r="AB51" s="14"/>
      <c r="AC51" s="14"/>
    </row>
    <row r="52" customFormat="false" ht="42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5"/>
      <c r="K52" s="15"/>
      <c r="L52" s="15"/>
      <c r="M52" s="15"/>
      <c r="N52" s="15"/>
      <c r="O52" s="12" t="str">
        <f aca="false">IF(OR(M52="",N52=""),"",M52*N52)</f>
        <v/>
      </c>
      <c r="P52" s="13" t="str">
        <f aca="false">IF(O52="","",IF(O52&lt;=4,"Low",IF(O52&lt;=9,"Medium",IF(O52&lt;=15,"High","Critical"))))</f>
        <v/>
      </c>
      <c r="Q52" s="14"/>
      <c r="R52" s="14"/>
      <c r="S52" s="14"/>
      <c r="T52" s="14"/>
      <c r="U52" s="14"/>
      <c r="V52" s="15"/>
      <c r="W52" s="15"/>
      <c r="X52" s="12" t="str">
        <f aca="false">IF(OR(V52="",W52=""),"",V52*W52)</f>
        <v/>
      </c>
      <c r="Y52" s="13" t="str">
        <f aca="false">IF(X52="","",IF(X52&lt;=4,"Low",IF(X52&lt;=9,"Medium",IF(X52&lt;=15,"High","Critical"))))</f>
        <v/>
      </c>
      <c r="Z52" s="14"/>
      <c r="AA52" s="14"/>
      <c r="AB52" s="14"/>
      <c r="AC52" s="14"/>
    </row>
    <row r="53" customFormat="false" ht="42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5"/>
      <c r="K53" s="15"/>
      <c r="L53" s="15"/>
      <c r="M53" s="15"/>
      <c r="N53" s="15"/>
      <c r="O53" s="12" t="str">
        <f aca="false">IF(OR(M53="",N53=""),"",M53*N53)</f>
        <v/>
      </c>
      <c r="P53" s="13" t="str">
        <f aca="false">IF(O53="","",IF(O53&lt;=4,"Low",IF(O53&lt;=9,"Medium",IF(O53&lt;=15,"High","Critical"))))</f>
        <v/>
      </c>
      <c r="Q53" s="14"/>
      <c r="R53" s="14"/>
      <c r="S53" s="14"/>
      <c r="T53" s="14"/>
      <c r="U53" s="14"/>
      <c r="V53" s="15"/>
      <c r="W53" s="15"/>
      <c r="X53" s="12" t="str">
        <f aca="false">IF(OR(V53="",W53=""),"",V53*W53)</f>
        <v/>
      </c>
      <c r="Y53" s="13" t="str">
        <f aca="false">IF(X53="","",IF(X53&lt;=4,"Low",IF(X53&lt;=9,"Medium",IF(X53&lt;=15,"High","Critical"))))</f>
        <v/>
      </c>
      <c r="Z53" s="14"/>
      <c r="AA53" s="14"/>
      <c r="AB53" s="14"/>
      <c r="AC53" s="14"/>
    </row>
    <row r="54" customFormat="false" ht="42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5"/>
      <c r="K54" s="15"/>
      <c r="L54" s="15"/>
      <c r="M54" s="15"/>
      <c r="N54" s="15"/>
      <c r="O54" s="12" t="str">
        <f aca="false">IF(OR(M54="",N54=""),"",M54*N54)</f>
        <v/>
      </c>
      <c r="P54" s="13" t="str">
        <f aca="false">IF(O54="","",IF(O54&lt;=4,"Low",IF(O54&lt;=9,"Medium",IF(O54&lt;=15,"High","Critical"))))</f>
        <v/>
      </c>
      <c r="Q54" s="14"/>
      <c r="R54" s="14"/>
      <c r="S54" s="14"/>
      <c r="T54" s="14"/>
      <c r="U54" s="14"/>
      <c r="V54" s="15"/>
      <c r="W54" s="15"/>
      <c r="X54" s="12" t="str">
        <f aca="false">IF(OR(V54="",W54=""),"",V54*W54)</f>
        <v/>
      </c>
      <c r="Y54" s="13" t="str">
        <f aca="false">IF(X54="","",IF(X54&lt;=4,"Low",IF(X54&lt;=9,"Medium",IF(X54&lt;=15,"High","Critical"))))</f>
        <v/>
      </c>
      <c r="Z54" s="14"/>
      <c r="AA54" s="14"/>
      <c r="AB54" s="14"/>
      <c r="AC54" s="14"/>
    </row>
    <row r="55" customFormat="false" ht="42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5"/>
      <c r="K55" s="15"/>
      <c r="L55" s="15"/>
      <c r="M55" s="15"/>
      <c r="N55" s="15"/>
      <c r="O55" s="12" t="str">
        <f aca="false">IF(OR(M55="",N55=""),"",M55*N55)</f>
        <v/>
      </c>
      <c r="P55" s="13" t="str">
        <f aca="false">IF(O55="","",IF(O55&lt;=4,"Low",IF(O55&lt;=9,"Medium",IF(O55&lt;=15,"High","Critical"))))</f>
        <v/>
      </c>
      <c r="Q55" s="14"/>
      <c r="R55" s="14"/>
      <c r="S55" s="14"/>
      <c r="T55" s="14"/>
      <c r="U55" s="14"/>
      <c r="V55" s="15"/>
      <c r="W55" s="15"/>
      <c r="X55" s="12" t="str">
        <f aca="false">IF(OR(V55="",W55=""),"",V55*W55)</f>
        <v/>
      </c>
      <c r="Y55" s="13" t="str">
        <f aca="false">IF(X55="","",IF(X55&lt;=4,"Low",IF(X55&lt;=9,"Medium",IF(X55&lt;=15,"High","Critical"))))</f>
        <v/>
      </c>
      <c r="Z55" s="14"/>
      <c r="AA55" s="14"/>
      <c r="AB55" s="14"/>
      <c r="AC55" s="14"/>
    </row>
    <row r="56" customFormat="false" ht="42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5"/>
      <c r="K56" s="15"/>
      <c r="L56" s="15"/>
      <c r="M56" s="15"/>
      <c r="N56" s="15"/>
      <c r="O56" s="12" t="str">
        <f aca="false">IF(OR(M56="",N56=""),"",M56*N56)</f>
        <v/>
      </c>
      <c r="P56" s="13" t="str">
        <f aca="false">IF(O56="","",IF(O56&lt;=4,"Low",IF(O56&lt;=9,"Medium",IF(O56&lt;=15,"High","Critical"))))</f>
        <v/>
      </c>
      <c r="Q56" s="14"/>
      <c r="R56" s="14"/>
      <c r="S56" s="14"/>
      <c r="T56" s="14"/>
      <c r="U56" s="14"/>
      <c r="V56" s="15"/>
      <c r="W56" s="15"/>
      <c r="X56" s="12" t="str">
        <f aca="false">IF(OR(V56="",W56=""),"",V56*W56)</f>
        <v/>
      </c>
      <c r="Y56" s="13" t="str">
        <f aca="false">IF(X56="","",IF(X56&lt;=4,"Low",IF(X56&lt;=9,"Medium",IF(X56&lt;=15,"High","Critical"))))</f>
        <v/>
      </c>
      <c r="Z56" s="14"/>
      <c r="AA56" s="14"/>
      <c r="AB56" s="14"/>
      <c r="AC56" s="14"/>
    </row>
    <row r="57" customFormat="false" ht="42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5"/>
      <c r="K57" s="15"/>
      <c r="L57" s="15"/>
      <c r="M57" s="15"/>
      <c r="N57" s="15"/>
      <c r="O57" s="12" t="str">
        <f aca="false">IF(OR(M57="",N57=""),"",M57*N57)</f>
        <v/>
      </c>
      <c r="P57" s="13" t="str">
        <f aca="false">IF(O57="","",IF(O57&lt;=4,"Low",IF(O57&lt;=9,"Medium",IF(O57&lt;=15,"High","Critical"))))</f>
        <v/>
      </c>
      <c r="Q57" s="14"/>
      <c r="R57" s="14"/>
      <c r="S57" s="14"/>
      <c r="T57" s="14"/>
      <c r="U57" s="14"/>
      <c r="V57" s="15"/>
      <c r="W57" s="15"/>
      <c r="X57" s="12" t="str">
        <f aca="false">IF(OR(V57="",W57=""),"",V57*W57)</f>
        <v/>
      </c>
      <c r="Y57" s="13" t="str">
        <f aca="false">IF(X57="","",IF(X57&lt;=4,"Low",IF(X57&lt;=9,"Medium",IF(X57&lt;=15,"High","Critical"))))</f>
        <v/>
      </c>
      <c r="Z57" s="14"/>
      <c r="AA57" s="14"/>
      <c r="AB57" s="14"/>
      <c r="AC57" s="14"/>
    </row>
    <row r="58" customFormat="false" ht="42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5"/>
      <c r="K58" s="15"/>
      <c r="L58" s="15"/>
      <c r="M58" s="15"/>
      <c r="N58" s="15"/>
      <c r="O58" s="12" t="str">
        <f aca="false">IF(OR(M58="",N58=""),"",M58*N58)</f>
        <v/>
      </c>
      <c r="P58" s="13" t="str">
        <f aca="false">IF(O58="","",IF(O58&lt;=4,"Low",IF(O58&lt;=9,"Medium",IF(O58&lt;=15,"High","Critical"))))</f>
        <v/>
      </c>
      <c r="Q58" s="14"/>
      <c r="R58" s="14"/>
      <c r="S58" s="14"/>
      <c r="T58" s="14"/>
      <c r="U58" s="14"/>
      <c r="V58" s="15"/>
      <c r="W58" s="15"/>
      <c r="X58" s="12" t="str">
        <f aca="false">IF(OR(V58="",W58=""),"",V58*W58)</f>
        <v/>
      </c>
      <c r="Y58" s="13" t="str">
        <f aca="false">IF(X58="","",IF(X58&lt;=4,"Low",IF(X58&lt;=9,"Medium",IF(X58&lt;=15,"High","Critical"))))</f>
        <v/>
      </c>
      <c r="Z58" s="14"/>
      <c r="AA58" s="14"/>
      <c r="AB58" s="14"/>
      <c r="AC58" s="14"/>
    </row>
    <row r="59" customFormat="false" ht="42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5"/>
      <c r="K59" s="15"/>
      <c r="L59" s="15"/>
      <c r="M59" s="15"/>
      <c r="N59" s="15"/>
      <c r="O59" s="12" t="str">
        <f aca="false">IF(OR(M59="",N59=""),"",M59*N59)</f>
        <v/>
      </c>
      <c r="P59" s="13" t="str">
        <f aca="false">IF(O59="","",IF(O59&lt;=4,"Low",IF(O59&lt;=9,"Medium",IF(O59&lt;=15,"High","Critical"))))</f>
        <v/>
      </c>
      <c r="Q59" s="14"/>
      <c r="R59" s="14"/>
      <c r="S59" s="14"/>
      <c r="T59" s="14"/>
      <c r="U59" s="14"/>
      <c r="V59" s="15"/>
      <c r="W59" s="15"/>
      <c r="X59" s="12" t="str">
        <f aca="false">IF(OR(V59="",W59=""),"",V59*W59)</f>
        <v/>
      </c>
      <c r="Y59" s="13" t="str">
        <f aca="false">IF(X59="","",IF(X59&lt;=4,"Low",IF(X59&lt;=9,"Medium",IF(X59&lt;=15,"High","Critical"))))</f>
        <v/>
      </c>
      <c r="Z59" s="14"/>
      <c r="AA59" s="14"/>
      <c r="AB59" s="14"/>
      <c r="AC59" s="14"/>
    </row>
    <row r="60" customFormat="false" ht="42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5"/>
      <c r="K60" s="15"/>
      <c r="L60" s="15"/>
      <c r="M60" s="15"/>
      <c r="N60" s="15"/>
      <c r="O60" s="12" t="str">
        <f aca="false">IF(OR(M60="",N60=""),"",M60*N60)</f>
        <v/>
      </c>
      <c r="P60" s="13" t="str">
        <f aca="false">IF(O60="","",IF(O60&lt;=4,"Low",IF(O60&lt;=9,"Medium",IF(O60&lt;=15,"High","Critical"))))</f>
        <v/>
      </c>
      <c r="Q60" s="14"/>
      <c r="R60" s="14"/>
      <c r="S60" s="14"/>
      <c r="T60" s="14"/>
      <c r="U60" s="14"/>
      <c r="V60" s="15"/>
      <c r="W60" s="15"/>
      <c r="X60" s="12" t="str">
        <f aca="false">IF(OR(V60="",W60=""),"",V60*W60)</f>
        <v/>
      </c>
      <c r="Y60" s="13" t="str">
        <f aca="false">IF(X60="","",IF(X60&lt;=4,"Low",IF(X60&lt;=9,"Medium",IF(X60&lt;=15,"High","Critical"))))</f>
        <v/>
      </c>
      <c r="Z60" s="14"/>
      <c r="AA60" s="14"/>
      <c r="AB60" s="14"/>
      <c r="AC60" s="14"/>
    </row>
    <row r="61" customFormat="false" ht="42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5"/>
      <c r="K61" s="15"/>
      <c r="L61" s="15"/>
      <c r="M61" s="15"/>
      <c r="N61" s="15"/>
      <c r="O61" s="12" t="str">
        <f aca="false">IF(OR(M61="",N61=""),"",M61*N61)</f>
        <v/>
      </c>
      <c r="P61" s="13" t="str">
        <f aca="false">IF(O61="","",IF(O61&lt;=4,"Low",IF(O61&lt;=9,"Medium",IF(O61&lt;=15,"High","Critical"))))</f>
        <v/>
      </c>
      <c r="Q61" s="14"/>
      <c r="R61" s="14"/>
      <c r="S61" s="14"/>
      <c r="T61" s="14"/>
      <c r="U61" s="14"/>
      <c r="V61" s="15"/>
      <c r="W61" s="15"/>
      <c r="X61" s="12" t="str">
        <f aca="false">IF(OR(V61="",W61=""),"",V61*W61)</f>
        <v/>
      </c>
      <c r="Y61" s="13" t="str">
        <f aca="false">IF(X61="","",IF(X61&lt;=4,"Low",IF(X61&lt;=9,"Medium",IF(X61&lt;=15,"High","Critical"))))</f>
        <v/>
      </c>
      <c r="Z61" s="14"/>
      <c r="AA61" s="14"/>
      <c r="AB61" s="14"/>
      <c r="AC61" s="14"/>
    </row>
    <row r="62" customFormat="false" ht="42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5"/>
      <c r="K62" s="15"/>
      <c r="L62" s="15"/>
      <c r="M62" s="15"/>
      <c r="N62" s="15"/>
      <c r="O62" s="12" t="str">
        <f aca="false">IF(OR(M62="",N62=""),"",M62*N62)</f>
        <v/>
      </c>
      <c r="P62" s="13" t="str">
        <f aca="false">IF(O62="","",IF(O62&lt;=4,"Low",IF(O62&lt;=9,"Medium",IF(O62&lt;=15,"High","Critical"))))</f>
        <v/>
      </c>
      <c r="Q62" s="14"/>
      <c r="R62" s="14"/>
      <c r="S62" s="14"/>
      <c r="T62" s="14"/>
      <c r="U62" s="14"/>
      <c r="V62" s="15"/>
      <c r="W62" s="15"/>
      <c r="X62" s="12" t="str">
        <f aca="false">IF(OR(V62="",W62=""),"",V62*W62)</f>
        <v/>
      </c>
      <c r="Y62" s="13" t="str">
        <f aca="false">IF(X62="","",IF(X62&lt;=4,"Low",IF(X62&lt;=9,"Medium",IF(X62&lt;=15,"High","Critical"))))</f>
        <v/>
      </c>
      <c r="Z62" s="14"/>
      <c r="AA62" s="14"/>
      <c r="AB62" s="14"/>
      <c r="AC62" s="14"/>
    </row>
    <row r="63" customFormat="false" ht="42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5"/>
      <c r="K63" s="15"/>
      <c r="L63" s="15"/>
      <c r="M63" s="15"/>
      <c r="N63" s="15"/>
      <c r="O63" s="12" t="str">
        <f aca="false">IF(OR(M63="",N63=""),"",M63*N63)</f>
        <v/>
      </c>
      <c r="P63" s="13" t="str">
        <f aca="false">IF(O63="","",IF(O63&lt;=4,"Low",IF(O63&lt;=9,"Medium",IF(O63&lt;=15,"High","Critical"))))</f>
        <v/>
      </c>
      <c r="Q63" s="14"/>
      <c r="R63" s="14"/>
      <c r="S63" s="14"/>
      <c r="T63" s="14"/>
      <c r="U63" s="14"/>
      <c r="V63" s="15"/>
      <c r="W63" s="15"/>
      <c r="X63" s="12" t="str">
        <f aca="false">IF(OR(V63="",W63=""),"",V63*W63)</f>
        <v/>
      </c>
      <c r="Y63" s="13" t="str">
        <f aca="false">IF(X63="","",IF(X63&lt;=4,"Low",IF(X63&lt;=9,"Medium",IF(X63&lt;=15,"High","Critical"))))</f>
        <v/>
      </c>
      <c r="Z63" s="14"/>
      <c r="AA63" s="14"/>
      <c r="AB63" s="14"/>
      <c r="AC63" s="14"/>
    </row>
    <row r="64" customFormat="false" ht="42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5"/>
      <c r="K64" s="15"/>
      <c r="L64" s="15"/>
      <c r="M64" s="15"/>
      <c r="N64" s="15"/>
      <c r="O64" s="12" t="str">
        <f aca="false">IF(OR(M64="",N64=""),"",M64*N64)</f>
        <v/>
      </c>
      <c r="P64" s="13" t="str">
        <f aca="false">IF(O64="","",IF(O64&lt;=4,"Low",IF(O64&lt;=9,"Medium",IF(O64&lt;=15,"High","Critical"))))</f>
        <v/>
      </c>
      <c r="Q64" s="14"/>
      <c r="R64" s="14"/>
      <c r="S64" s="14"/>
      <c r="T64" s="14"/>
      <c r="U64" s="14"/>
      <c r="V64" s="15"/>
      <c r="W64" s="15"/>
      <c r="X64" s="12" t="str">
        <f aca="false">IF(OR(V64="",W64=""),"",V64*W64)</f>
        <v/>
      </c>
      <c r="Y64" s="13" t="str">
        <f aca="false">IF(X64="","",IF(X64&lt;=4,"Low",IF(X64&lt;=9,"Medium",IF(X64&lt;=15,"High","Critical"))))</f>
        <v/>
      </c>
      <c r="Z64" s="14"/>
      <c r="AA64" s="14"/>
      <c r="AB64" s="14"/>
      <c r="AC64" s="14"/>
    </row>
    <row r="65" customFormat="false" ht="42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5"/>
      <c r="K65" s="15"/>
      <c r="L65" s="15"/>
      <c r="M65" s="15"/>
      <c r="N65" s="15"/>
      <c r="O65" s="12" t="str">
        <f aca="false">IF(OR(M65="",N65=""),"",M65*N65)</f>
        <v/>
      </c>
      <c r="P65" s="13" t="str">
        <f aca="false">IF(O65="","",IF(O65&lt;=4,"Low",IF(O65&lt;=9,"Medium",IF(O65&lt;=15,"High","Critical"))))</f>
        <v/>
      </c>
      <c r="Q65" s="14"/>
      <c r="R65" s="14"/>
      <c r="S65" s="14"/>
      <c r="T65" s="14"/>
      <c r="U65" s="14"/>
      <c r="V65" s="15"/>
      <c r="W65" s="15"/>
      <c r="X65" s="12" t="str">
        <f aca="false">IF(OR(V65="",W65=""),"",V65*W65)</f>
        <v/>
      </c>
      <c r="Y65" s="13" t="str">
        <f aca="false">IF(X65="","",IF(X65&lt;=4,"Low",IF(X65&lt;=9,"Medium",IF(X65&lt;=15,"High","Critical"))))</f>
        <v/>
      </c>
      <c r="Z65" s="14"/>
      <c r="AA65" s="14"/>
      <c r="AB65" s="14"/>
      <c r="AC65" s="14"/>
    </row>
    <row r="66" customFormat="false" ht="42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5"/>
      <c r="K66" s="15"/>
      <c r="L66" s="15"/>
      <c r="M66" s="15"/>
      <c r="N66" s="15"/>
      <c r="O66" s="12" t="str">
        <f aca="false">IF(OR(M66="",N66=""),"",M66*N66)</f>
        <v/>
      </c>
      <c r="P66" s="13" t="str">
        <f aca="false">IF(O66="","",IF(O66&lt;=4,"Low",IF(O66&lt;=9,"Medium",IF(O66&lt;=15,"High","Critical"))))</f>
        <v/>
      </c>
      <c r="Q66" s="14"/>
      <c r="R66" s="14"/>
      <c r="S66" s="14"/>
      <c r="T66" s="14"/>
      <c r="U66" s="14"/>
      <c r="V66" s="15"/>
      <c r="W66" s="15"/>
      <c r="X66" s="12" t="str">
        <f aca="false">IF(OR(V66="",W66=""),"",V66*W66)</f>
        <v/>
      </c>
      <c r="Y66" s="13" t="str">
        <f aca="false">IF(X66="","",IF(X66&lt;=4,"Low",IF(X66&lt;=9,"Medium",IF(X66&lt;=15,"High","Critical"))))</f>
        <v/>
      </c>
      <c r="Z66" s="14"/>
      <c r="AA66" s="14"/>
      <c r="AB66" s="14"/>
      <c r="AC66" s="14"/>
    </row>
    <row r="67" customFormat="false" ht="42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5"/>
      <c r="K67" s="15"/>
      <c r="L67" s="15"/>
      <c r="M67" s="15"/>
      <c r="N67" s="15"/>
      <c r="O67" s="12" t="str">
        <f aca="false">IF(OR(M67="",N67=""),"",M67*N67)</f>
        <v/>
      </c>
      <c r="P67" s="13" t="str">
        <f aca="false">IF(O67="","",IF(O67&lt;=4,"Low",IF(O67&lt;=9,"Medium",IF(O67&lt;=15,"High","Critical"))))</f>
        <v/>
      </c>
      <c r="Q67" s="14"/>
      <c r="R67" s="14"/>
      <c r="S67" s="14"/>
      <c r="T67" s="14"/>
      <c r="U67" s="14"/>
      <c r="V67" s="15"/>
      <c r="W67" s="15"/>
      <c r="X67" s="12" t="str">
        <f aca="false">IF(OR(V67="",W67=""),"",V67*W67)</f>
        <v/>
      </c>
      <c r="Y67" s="13" t="str">
        <f aca="false">IF(X67="","",IF(X67&lt;=4,"Low",IF(X67&lt;=9,"Medium",IF(X67&lt;=15,"High","Critical"))))</f>
        <v/>
      </c>
      <c r="Z67" s="14"/>
      <c r="AA67" s="14"/>
      <c r="AB67" s="14"/>
      <c r="AC67" s="14"/>
    </row>
    <row r="68" customFormat="false" ht="42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5"/>
      <c r="K68" s="15"/>
      <c r="L68" s="15"/>
      <c r="M68" s="15"/>
      <c r="N68" s="15"/>
      <c r="O68" s="12" t="str">
        <f aca="false">IF(OR(M68="",N68=""),"",M68*N68)</f>
        <v/>
      </c>
      <c r="P68" s="13" t="str">
        <f aca="false">IF(O68="","",IF(O68&lt;=4,"Low",IF(O68&lt;=9,"Medium",IF(O68&lt;=15,"High","Critical"))))</f>
        <v/>
      </c>
      <c r="Q68" s="14"/>
      <c r="R68" s="14"/>
      <c r="S68" s="14"/>
      <c r="T68" s="14"/>
      <c r="U68" s="14"/>
      <c r="V68" s="15"/>
      <c r="W68" s="15"/>
      <c r="X68" s="12" t="str">
        <f aca="false">IF(OR(V68="",W68=""),"",V68*W68)</f>
        <v/>
      </c>
      <c r="Y68" s="13" t="str">
        <f aca="false">IF(X68="","",IF(X68&lt;=4,"Low",IF(X68&lt;=9,"Medium",IF(X68&lt;=15,"High","Critical"))))</f>
        <v/>
      </c>
      <c r="Z68" s="14"/>
      <c r="AA68" s="14"/>
      <c r="AB68" s="14"/>
      <c r="AC68" s="14"/>
    </row>
    <row r="69" customFormat="false" ht="42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5"/>
      <c r="K69" s="15"/>
      <c r="L69" s="15"/>
      <c r="M69" s="15"/>
      <c r="N69" s="15"/>
      <c r="O69" s="12" t="str">
        <f aca="false">IF(OR(M69="",N69=""),"",M69*N69)</f>
        <v/>
      </c>
      <c r="P69" s="13" t="str">
        <f aca="false">IF(O69="","",IF(O69&lt;=4,"Low",IF(O69&lt;=9,"Medium",IF(O69&lt;=15,"High","Critical"))))</f>
        <v/>
      </c>
      <c r="Q69" s="14"/>
      <c r="R69" s="14"/>
      <c r="S69" s="14"/>
      <c r="T69" s="14"/>
      <c r="U69" s="14"/>
      <c r="V69" s="15"/>
      <c r="W69" s="15"/>
      <c r="X69" s="12" t="str">
        <f aca="false">IF(OR(V69="",W69=""),"",V69*W69)</f>
        <v/>
      </c>
      <c r="Y69" s="13" t="str">
        <f aca="false">IF(X69="","",IF(X69&lt;=4,"Low",IF(X69&lt;=9,"Medium",IF(X69&lt;=15,"High","Critical"))))</f>
        <v/>
      </c>
      <c r="Z69" s="14"/>
      <c r="AA69" s="14"/>
      <c r="AB69" s="14"/>
      <c r="AC69" s="14"/>
    </row>
    <row r="70" customFormat="false" ht="42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5"/>
      <c r="K70" s="15"/>
      <c r="L70" s="15"/>
      <c r="M70" s="15"/>
      <c r="N70" s="15"/>
      <c r="O70" s="12" t="str">
        <f aca="false">IF(OR(M70="",N70=""),"",M70*N70)</f>
        <v/>
      </c>
      <c r="P70" s="13" t="str">
        <f aca="false">IF(O70="","",IF(O70&lt;=4,"Low",IF(O70&lt;=9,"Medium",IF(O70&lt;=15,"High","Critical"))))</f>
        <v/>
      </c>
      <c r="Q70" s="14"/>
      <c r="R70" s="14"/>
      <c r="S70" s="14"/>
      <c r="T70" s="14"/>
      <c r="U70" s="14"/>
      <c r="V70" s="15"/>
      <c r="W70" s="15"/>
      <c r="X70" s="12" t="str">
        <f aca="false">IF(OR(V70="",W70=""),"",V70*W70)</f>
        <v/>
      </c>
      <c r="Y70" s="13" t="str">
        <f aca="false">IF(X70="","",IF(X70&lt;=4,"Low",IF(X70&lt;=9,"Medium",IF(X70&lt;=15,"High","Critical"))))</f>
        <v/>
      </c>
      <c r="Z70" s="14"/>
      <c r="AA70" s="14"/>
      <c r="AB70" s="14"/>
      <c r="AC70" s="14"/>
    </row>
    <row r="71" customFormat="false" ht="42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5"/>
      <c r="K71" s="15"/>
      <c r="L71" s="15"/>
      <c r="M71" s="15"/>
      <c r="N71" s="15"/>
      <c r="O71" s="12" t="str">
        <f aca="false">IF(OR(M71="",N71=""),"",M71*N71)</f>
        <v/>
      </c>
      <c r="P71" s="13" t="str">
        <f aca="false">IF(O71="","",IF(O71&lt;=4,"Low",IF(O71&lt;=9,"Medium",IF(O71&lt;=15,"High","Critical"))))</f>
        <v/>
      </c>
      <c r="Q71" s="14"/>
      <c r="R71" s="14"/>
      <c r="S71" s="14"/>
      <c r="T71" s="14"/>
      <c r="U71" s="14"/>
      <c r="V71" s="15"/>
      <c r="W71" s="15"/>
      <c r="X71" s="12" t="str">
        <f aca="false">IF(OR(V71="",W71=""),"",V71*W71)</f>
        <v/>
      </c>
      <c r="Y71" s="13" t="str">
        <f aca="false">IF(X71="","",IF(X71&lt;=4,"Low",IF(X71&lt;=9,"Medium",IF(X71&lt;=15,"High","Critical"))))</f>
        <v/>
      </c>
      <c r="Z71" s="14"/>
      <c r="AA71" s="14"/>
      <c r="AB71" s="14"/>
      <c r="AC71" s="14"/>
    </row>
    <row r="72" customFormat="false" ht="42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15"/>
      <c r="K72" s="15"/>
      <c r="L72" s="15"/>
      <c r="M72" s="15"/>
      <c r="N72" s="15"/>
      <c r="O72" s="12" t="str">
        <f aca="false">IF(OR(M72="",N72=""),"",M72*N72)</f>
        <v/>
      </c>
      <c r="P72" s="13" t="str">
        <f aca="false">IF(O72="","",IF(O72&lt;=4,"Low",IF(O72&lt;=9,"Medium",IF(O72&lt;=15,"High","Critical"))))</f>
        <v/>
      </c>
      <c r="Q72" s="14"/>
      <c r="R72" s="14"/>
      <c r="S72" s="14"/>
      <c r="T72" s="14"/>
      <c r="U72" s="14"/>
      <c r="V72" s="15"/>
      <c r="W72" s="15"/>
      <c r="X72" s="12" t="str">
        <f aca="false">IF(OR(V72="",W72=""),"",V72*W72)</f>
        <v/>
      </c>
      <c r="Y72" s="13" t="str">
        <f aca="false">IF(X72="","",IF(X72&lt;=4,"Low",IF(X72&lt;=9,"Medium",IF(X72&lt;=15,"High","Critical"))))</f>
        <v/>
      </c>
      <c r="Z72" s="14"/>
      <c r="AA72" s="14"/>
      <c r="AB72" s="14"/>
      <c r="AC72" s="14"/>
    </row>
    <row r="73" customFormat="false" ht="42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5"/>
      <c r="K73" s="15"/>
      <c r="L73" s="15"/>
      <c r="M73" s="15"/>
      <c r="N73" s="15"/>
      <c r="O73" s="12" t="str">
        <f aca="false">IF(OR(M73="",N73=""),"",M73*N73)</f>
        <v/>
      </c>
      <c r="P73" s="13" t="str">
        <f aca="false">IF(O73="","",IF(O73&lt;=4,"Low",IF(O73&lt;=9,"Medium",IF(O73&lt;=15,"High","Critical"))))</f>
        <v/>
      </c>
      <c r="Q73" s="14"/>
      <c r="R73" s="14"/>
      <c r="S73" s="14"/>
      <c r="T73" s="14"/>
      <c r="U73" s="14"/>
      <c r="V73" s="15"/>
      <c r="W73" s="15"/>
      <c r="X73" s="12" t="str">
        <f aca="false">IF(OR(V73="",W73=""),"",V73*W73)</f>
        <v/>
      </c>
      <c r="Y73" s="13" t="str">
        <f aca="false">IF(X73="","",IF(X73&lt;=4,"Low",IF(X73&lt;=9,"Medium",IF(X73&lt;=15,"High","Critical"))))</f>
        <v/>
      </c>
      <c r="Z73" s="14"/>
      <c r="AA73" s="14"/>
      <c r="AB73" s="14"/>
      <c r="AC73" s="14"/>
    </row>
  </sheetData>
  <mergeCells count="2">
    <mergeCell ref="A1:AC1"/>
    <mergeCell ref="A2:AC2"/>
  </mergeCells>
  <conditionalFormatting sqref="P4:P73">
    <cfRule type="expression" priority="2" aboveAverage="0" equalAverage="0" bottom="0" percent="0" rank="0" text="" dxfId="0">
      <formula>P4="Low"</formula>
    </cfRule>
    <cfRule type="expression" priority="3" aboveAverage="0" equalAverage="0" bottom="0" percent="0" rank="0" text="" dxfId="1">
      <formula>P4="Medium"</formula>
    </cfRule>
    <cfRule type="expression" priority="4" aboveAverage="0" equalAverage="0" bottom="0" percent="0" rank="0" text="" dxfId="2">
      <formula>P4="High"</formula>
    </cfRule>
    <cfRule type="expression" priority="5" aboveAverage="0" equalAverage="0" bottom="0" percent="0" rank="0" text="" dxfId="3">
      <formula>P4="Critical"</formula>
    </cfRule>
  </conditionalFormatting>
  <conditionalFormatting sqref="Y4:Y73">
    <cfRule type="expression" priority="6" aboveAverage="0" equalAverage="0" bottom="0" percent="0" rank="0" text="" dxfId="0">
      <formula>Y4="Low"</formula>
    </cfRule>
    <cfRule type="expression" priority="7" aboveAverage="0" equalAverage="0" bottom="0" percent="0" rank="0" text="" dxfId="1">
      <formula>Y4="Medium"</formula>
    </cfRule>
    <cfRule type="expression" priority="8" aboveAverage="0" equalAverage="0" bottom="0" percent="0" rank="0" text="" dxfId="2">
      <formula>Y4="High"</formula>
    </cfRule>
    <cfRule type="expression" priority="9" aboveAverage="0" equalAverage="0" bottom="0" percent="0" rank="0" text="" dxfId="3">
      <formula>Y4="Critical"</formula>
    </cfRule>
  </conditionalFormatting>
  <conditionalFormatting sqref="J4:J73">
    <cfRule type="expression" priority="10" aboveAverage="0" equalAverage="0" bottom="0" percent="0" rank="0" text="" dxfId="3">
      <formula>J4="High"</formula>
    </cfRule>
    <cfRule type="expression" priority="11" aboveAverage="0" equalAverage="0" bottom="0" percent="0" rank="0" text="" dxfId="1">
      <formula>J4="Medium"</formula>
    </cfRule>
    <cfRule type="expression" priority="12" aboveAverage="0" equalAverage="0" bottom="0" percent="0" rank="0" text="" dxfId="0">
      <formula>J4="Low"</formula>
    </cfRule>
  </conditionalFormatting>
  <conditionalFormatting sqref="K4:K73">
    <cfRule type="expression" priority="13" aboveAverage="0" equalAverage="0" bottom="0" percent="0" rank="0" text="" dxfId="3">
      <formula>K4="High"</formula>
    </cfRule>
    <cfRule type="expression" priority="14" aboveAverage="0" equalAverage="0" bottom="0" percent="0" rank="0" text="" dxfId="1">
      <formula>K4="Medium"</formula>
    </cfRule>
    <cfRule type="expression" priority="15" aboveAverage="0" equalAverage="0" bottom="0" percent="0" rank="0" text="" dxfId="0">
      <formula>K4="Low"</formula>
    </cfRule>
  </conditionalFormatting>
  <conditionalFormatting sqref="L4:L73">
    <cfRule type="expression" priority="16" aboveAverage="0" equalAverage="0" bottom="0" percent="0" rank="0" text="" dxfId="3">
      <formula>L4="High"</formula>
    </cfRule>
    <cfRule type="expression" priority="17" aboveAverage="0" equalAverage="0" bottom="0" percent="0" rank="0" text="" dxfId="1">
      <formula>L4="Medium"</formula>
    </cfRule>
    <cfRule type="expression" priority="18" aboveAverage="0" equalAverage="0" bottom="0" percent="0" rank="0" text="" dxfId="0">
      <formula>L4="Low"</formula>
    </cfRule>
  </conditionalFormatting>
  <conditionalFormatting sqref="Z4:Z73">
    <cfRule type="expression" priority="19" aboveAverage="0" equalAverage="0" bottom="0" percent="0" rank="0" text="" dxfId="0">
      <formula>Z4="Closed"</formula>
    </cfRule>
    <cfRule type="expression" priority="20" aboveAverage="0" equalAverage="0" bottom="0" percent="0" rank="0" text="" dxfId="1">
      <formula>Z4="Open"</formula>
    </cfRule>
    <cfRule type="expression" priority="21" aboveAverage="0" equalAverage="0" bottom="0" percent="0" rank="0" text="" dxfId="3">
      <formula>Z4="Overdue"</formula>
    </cfRule>
    <cfRule type="expression" priority="22" aboveAverage="0" equalAverage="0" bottom="0" percent="0" rank="0" text="" dxfId="2">
      <formula>Z4="In Progress"</formula>
    </cfRule>
  </conditionalFormatting>
  <dataValidations count="6">
    <dataValidation allowBlank="true" errorStyle="stop" operator="between" showDropDown="false" showErrorMessage="false" showInputMessage="false" sqref="D4:D73" type="list">
      <formula1>"Data Quality,Bias &amp; Fairness,Model Performance / Robustness,Security,Privacy,Transparency &amp; Explainability,Third-Party / Supplier,Human Oversight,Legal &amp; Regulatory,Societal Impact,Environmental Impact,Governance / Roles,Data Resources,Resource Management"</formula1>
      <formula2>0</formula2>
    </dataValidation>
    <dataValidation allowBlank="true" errorStyle="stop" operator="between" showDropDown="false" showErrorMessage="false" showInputMessage="false" sqref="E4:E73" type="list">
      <formula1>"4.1,4.2,4.3,5.1,5.2,5.3,6.1.2,6.1.3,6.1.4,6.2,6.2.2,6.2.5,6.2.8,6.3,7.1,7.2,7.4,7.5,8.1,8.2,8.3,8.4,9.1,9.2,9.3,10.2,A.9.3"</formula1>
      <formula2>0</formula2>
    </dataValidation>
    <dataValidation allowBlank="true" errorStyle="stop" operator="between" showDropDown="false" showErrorMessage="false" showInputMessage="false" sqref="R4:R73" type="list">
      <formula1>"Avoid,Reduce,Transfer,Accept"</formula1>
      <formula2>0</formula2>
    </dataValidation>
    <dataValidation allowBlank="true" errorStyle="stop" operator="between" showDropDown="false" showErrorMessage="false" showInputMessage="false" sqref="Z4:Z73" type="list">
      <formula1>"Open,In Progress,Closed,Overdue"</formula1>
      <formula2>0</formula2>
    </dataValidation>
    <dataValidation allowBlank="true" errorStyle="stop" operator="between" showDropDown="false" showErrorMessage="false" showInputMessage="false" sqref="M4:N73 V4:W73" type="list">
      <formula1>"1,2,3,4,5"</formula1>
      <formula2>0</formula2>
    </dataValidation>
    <dataValidation allowBlank="true" errorStyle="stop" operator="between" showDropDown="false" showErrorMessage="false" showInputMessage="false" sqref="J4:L7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85"/>
  </cols>
  <sheetData>
    <row r="2" customFormat="false" ht="19.5" hidden="false" customHeight="true" outlineLevel="0" collapsed="false">
      <c r="B2" s="16" t="s">
        <v>482</v>
      </c>
    </row>
    <row r="3" customFormat="false" ht="15" hidden="false" customHeight="true" outlineLevel="0" collapsed="false">
      <c r="B3" s="17" t="s">
        <v>483</v>
      </c>
    </row>
    <row r="5" customFormat="false" ht="15" hidden="false" customHeight="true" outlineLevel="0" collapsed="false">
      <c r="B5" s="18" t="s">
        <v>484</v>
      </c>
    </row>
    <row r="6" customFormat="false" ht="15" hidden="false" customHeight="true" outlineLevel="0" collapsed="false">
      <c r="B6" s="19" t="s">
        <v>485</v>
      </c>
      <c r="C6" s="19" t="s">
        <v>486</v>
      </c>
      <c r="D6" s="19" t="s">
        <v>487</v>
      </c>
    </row>
    <row r="7" customFormat="false" ht="15" hidden="false" customHeight="true" outlineLevel="0" collapsed="false">
      <c r="B7" s="20" t="n">
        <v>1</v>
      </c>
      <c r="C7" s="21" t="s">
        <v>488</v>
      </c>
      <c r="D7" s="22" t="s">
        <v>489</v>
      </c>
    </row>
    <row r="8" customFormat="false" ht="15" hidden="false" customHeight="true" outlineLevel="0" collapsed="false">
      <c r="B8" s="20" t="n">
        <v>2</v>
      </c>
      <c r="C8" s="21" t="s">
        <v>490</v>
      </c>
      <c r="D8" s="22" t="s">
        <v>491</v>
      </c>
    </row>
    <row r="9" customFormat="false" ht="15" hidden="false" customHeight="true" outlineLevel="0" collapsed="false">
      <c r="B9" s="20" t="n">
        <v>3</v>
      </c>
      <c r="C9" s="21" t="s">
        <v>492</v>
      </c>
      <c r="D9" s="22" t="s">
        <v>493</v>
      </c>
    </row>
    <row r="10" customFormat="false" ht="15" hidden="false" customHeight="true" outlineLevel="0" collapsed="false">
      <c r="B10" s="20" t="n">
        <v>4</v>
      </c>
      <c r="C10" s="21" t="s">
        <v>494</v>
      </c>
      <c r="D10" s="22" t="s">
        <v>495</v>
      </c>
    </row>
    <row r="11" customFormat="false" ht="15" hidden="false" customHeight="true" outlineLevel="0" collapsed="false">
      <c r="B11" s="20" t="n">
        <v>5</v>
      </c>
      <c r="C11" s="21" t="s">
        <v>496</v>
      </c>
      <c r="D11" s="22" t="s">
        <v>497</v>
      </c>
    </row>
    <row r="14" customFormat="false" ht="15" hidden="false" customHeight="true" outlineLevel="0" collapsed="false">
      <c r="B14" s="18" t="s">
        <v>498</v>
      </c>
    </row>
    <row r="15" customFormat="false" ht="15" hidden="false" customHeight="true" outlineLevel="0" collapsed="false">
      <c r="B15" s="19" t="s">
        <v>485</v>
      </c>
      <c r="C15" s="19" t="s">
        <v>486</v>
      </c>
      <c r="D15" s="19" t="s">
        <v>499</v>
      </c>
    </row>
    <row r="16" customFormat="false" ht="15" hidden="false" customHeight="true" outlineLevel="0" collapsed="false">
      <c r="B16" s="20" t="n">
        <v>1</v>
      </c>
      <c r="C16" s="21" t="s">
        <v>500</v>
      </c>
      <c r="D16" s="22" t="s">
        <v>501</v>
      </c>
    </row>
    <row r="17" customFormat="false" ht="15" hidden="false" customHeight="true" outlineLevel="0" collapsed="false">
      <c r="B17" s="20" t="n">
        <v>2</v>
      </c>
      <c r="C17" s="21" t="s">
        <v>502</v>
      </c>
      <c r="D17" s="22" t="s">
        <v>503</v>
      </c>
    </row>
    <row r="18" customFormat="false" ht="23.25" hidden="false" customHeight="true" outlineLevel="0" collapsed="false">
      <c r="B18" s="20" t="n">
        <v>3</v>
      </c>
      <c r="C18" s="21" t="s">
        <v>504</v>
      </c>
      <c r="D18" s="22" t="s">
        <v>505</v>
      </c>
    </row>
    <row r="19" customFormat="false" ht="23.25" hidden="false" customHeight="true" outlineLevel="0" collapsed="false">
      <c r="B19" s="20" t="n">
        <v>4</v>
      </c>
      <c r="C19" s="21" t="s">
        <v>506</v>
      </c>
      <c r="D19" s="22" t="s">
        <v>507</v>
      </c>
    </row>
    <row r="20" customFormat="false" ht="23.25" hidden="false" customHeight="true" outlineLevel="0" collapsed="false">
      <c r="B20" s="20" t="n">
        <v>5</v>
      </c>
      <c r="C20" s="21" t="s">
        <v>508</v>
      </c>
      <c r="D20" s="22" t="s">
        <v>509</v>
      </c>
    </row>
    <row r="23" customFormat="false" ht="15" hidden="false" customHeight="true" outlineLevel="0" collapsed="false">
      <c r="B23" s="18" t="s">
        <v>510</v>
      </c>
    </row>
    <row r="24" customFormat="false" ht="15" hidden="false" customHeight="true" outlineLevel="0" collapsed="false">
      <c r="B24" s="19" t="s">
        <v>511</v>
      </c>
      <c r="C24" s="19" t="s">
        <v>512</v>
      </c>
      <c r="D24" s="19" t="s">
        <v>513</v>
      </c>
    </row>
    <row r="25" customFormat="false" ht="15" hidden="false" customHeight="true" outlineLevel="0" collapsed="false">
      <c r="B25" s="20" t="s">
        <v>514</v>
      </c>
      <c r="C25" s="23" t="s">
        <v>63</v>
      </c>
      <c r="D25" s="22" t="s">
        <v>515</v>
      </c>
    </row>
    <row r="26" customFormat="false" ht="15" hidden="false" customHeight="true" outlineLevel="0" collapsed="false">
      <c r="B26" s="20" t="s">
        <v>516</v>
      </c>
      <c r="C26" s="24" t="s">
        <v>64</v>
      </c>
      <c r="D26" s="22" t="s">
        <v>517</v>
      </c>
    </row>
    <row r="27" customFormat="false" ht="15" hidden="false" customHeight="true" outlineLevel="0" collapsed="false">
      <c r="B27" s="20" t="s">
        <v>518</v>
      </c>
      <c r="C27" s="25" t="s">
        <v>82</v>
      </c>
      <c r="D27" s="22" t="s">
        <v>519</v>
      </c>
    </row>
    <row r="28" customFormat="false" ht="15" hidden="false" customHeight="true" outlineLevel="0" collapsed="false">
      <c r="B28" s="20" t="s">
        <v>520</v>
      </c>
      <c r="C28" s="26" t="s">
        <v>521</v>
      </c>
      <c r="D28" s="22" t="s">
        <v>522</v>
      </c>
    </row>
    <row r="31" customFormat="false" ht="15" hidden="false" customHeight="false" outlineLevel="0" collapsed="false">
      <c r="B31" s="27" t="s">
        <v>523</v>
      </c>
    </row>
    <row r="32" customFormat="false" ht="15" hidden="false" customHeight="false" outlineLevel="0" collapsed="false">
      <c r="B32" s="28" t="s">
        <v>524</v>
      </c>
    </row>
    <row r="34" customFormat="false" ht="15" hidden="false" customHeight="false" outlineLevel="0" collapsed="false">
      <c r="B34" s="19" t="s">
        <v>525</v>
      </c>
      <c r="C34" s="19" t="s">
        <v>513</v>
      </c>
      <c r="D34" s="19" t="s">
        <v>526</v>
      </c>
    </row>
    <row r="35" customFormat="false" ht="68.65" hidden="false" customHeight="false" outlineLevel="0" collapsed="false">
      <c r="B35" s="29" t="s">
        <v>527</v>
      </c>
      <c r="C35" s="22" t="s">
        <v>528</v>
      </c>
      <c r="D35" s="22" t="s">
        <v>529</v>
      </c>
    </row>
    <row r="36" customFormat="false" ht="68.65" hidden="false" customHeight="false" outlineLevel="0" collapsed="false">
      <c r="B36" s="29" t="s">
        <v>530</v>
      </c>
      <c r="C36" s="22" t="s">
        <v>531</v>
      </c>
      <c r="D36" s="22" t="s">
        <v>532</v>
      </c>
    </row>
    <row r="37" customFormat="false" ht="57.45" hidden="false" customHeight="false" outlineLevel="0" collapsed="false">
      <c r="B37" s="29" t="s">
        <v>533</v>
      </c>
      <c r="C37" s="22" t="s">
        <v>534</v>
      </c>
      <c r="D37" s="22" t="s">
        <v>535</v>
      </c>
    </row>
    <row r="39" customFormat="false" ht="15" hidden="false" customHeight="false" outlineLevel="0" collapsed="false">
      <c r="B39" s="30" t="s">
        <v>536</v>
      </c>
    </row>
    <row r="40" customFormat="false" ht="15" hidden="false" customHeight="false" outlineLevel="0" collapsed="false">
      <c r="B40" s="19" t="s">
        <v>486</v>
      </c>
      <c r="C40" s="19" t="s">
        <v>537</v>
      </c>
    </row>
    <row r="41" customFormat="false" ht="79.85" hidden="false" customHeight="false" outlineLevel="0" collapsed="false">
      <c r="B41" s="29" t="s">
        <v>82</v>
      </c>
      <c r="C41" s="22" t="s">
        <v>538</v>
      </c>
    </row>
    <row r="42" customFormat="false" ht="68.65" hidden="false" customHeight="false" outlineLevel="0" collapsed="false">
      <c r="B42" s="29" t="s">
        <v>64</v>
      </c>
      <c r="C42" s="22" t="s">
        <v>539</v>
      </c>
    </row>
    <row r="43" customFormat="false" ht="46.25" hidden="false" customHeight="false" outlineLevel="0" collapsed="false">
      <c r="B43" s="29" t="s">
        <v>63</v>
      </c>
      <c r="C43" s="22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70"/>
  </cols>
  <sheetData>
    <row r="2" customFormat="false" ht="19.5" hidden="false" customHeight="true" outlineLevel="0" collapsed="false">
      <c r="B2" s="16" t="s">
        <v>541</v>
      </c>
    </row>
    <row r="3" customFormat="false" ht="15" hidden="false" customHeight="true" outlineLevel="0" collapsed="false">
      <c r="B3" s="17" t="s">
        <v>542</v>
      </c>
    </row>
    <row r="5" customFormat="false" ht="26.25" hidden="false" customHeight="true" outlineLevel="0" collapsed="false">
      <c r="B5" s="19" t="s">
        <v>543</v>
      </c>
      <c r="C5" s="19" t="s">
        <v>544</v>
      </c>
      <c r="D5" s="19" t="s">
        <v>545</v>
      </c>
    </row>
    <row r="6" customFormat="false" ht="15" hidden="false" customHeight="true" outlineLevel="0" collapsed="false">
      <c r="B6" s="29" t="s">
        <v>546</v>
      </c>
      <c r="C6" s="22" t="s">
        <v>547</v>
      </c>
      <c r="D6" s="22" t="s">
        <v>548</v>
      </c>
    </row>
    <row r="7" customFormat="false" ht="15" hidden="false" customHeight="true" outlineLevel="0" collapsed="false">
      <c r="B7" s="29" t="s">
        <v>549</v>
      </c>
      <c r="C7" s="22" t="s">
        <v>550</v>
      </c>
      <c r="D7" s="22" t="s">
        <v>551</v>
      </c>
    </row>
    <row r="8" customFormat="false" ht="15" hidden="false" customHeight="true" outlineLevel="0" collapsed="false">
      <c r="B8" s="29" t="s">
        <v>552</v>
      </c>
      <c r="C8" s="22" t="s">
        <v>553</v>
      </c>
      <c r="D8" s="22" t="s">
        <v>554</v>
      </c>
    </row>
    <row r="9" customFormat="false" ht="23.25" hidden="false" customHeight="true" outlineLevel="0" collapsed="false">
      <c r="B9" s="29" t="s">
        <v>555</v>
      </c>
      <c r="C9" s="22" t="s">
        <v>556</v>
      </c>
      <c r="D9" s="22" t="s">
        <v>557</v>
      </c>
    </row>
    <row r="10" customFormat="false" ht="23.25" hidden="false" customHeight="true" outlineLevel="0" collapsed="false">
      <c r="B10" s="29" t="s">
        <v>558</v>
      </c>
      <c r="C10" s="22" t="s">
        <v>559</v>
      </c>
      <c r="D10" s="22" t="s">
        <v>560</v>
      </c>
    </row>
    <row r="11" customFormat="false" ht="15" hidden="false" customHeight="true" outlineLevel="0" collapsed="false">
      <c r="B11" s="29" t="s">
        <v>561</v>
      </c>
      <c r="C11" s="22" t="s">
        <v>562</v>
      </c>
      <c r="D11" s="22" t="s">
        <v>563</v>
      </c>
    </row>
    <row r="12" customFormat="false" ht="23.25" hidden="false" customHeight="true" outlineLevel="0" collapsed="false">
      <c r="B12" s="29" t="s">
        <v>564</v>
      </c>
      <c r="C12" s="22" t="s">
        <v>565</v>
      </c>
      <c r="D12" s="22" t="s">
        <v>566</v>
      </c>
    </row>
    <row r="13" customFormat="false" ht="15" hidden="false" customHeight="true" outlineLevel="0" collapsed="false">
      <c r="B13" s="29" t="s">
        <v>567</v>
      </c>
      <c r="C13" s="22" t="s">
        <v>568</v>
      </c>
      <c r="D13" s="22" t="s">
        <v>569</v>
      </c>
    </row>
    <row r="14" customFormat="false" ht="15" hidden="false" customHeight="true" outlineLevel="0" collapsed="false">
      <c r="B14" s="29" t="s">
        <v>570</v>
      </c>
      <c r="C14" s="22" t="s">
        <v>571</v>
      </c>
      <c r="D14" s="22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55"/>
  </cols>
  <sheetData>
    <row r="2" customFormat="false" ht="19.5" hidden="false" customHeight="true" outlineLevel="0" collapsed="false">
      <c r="B2" s="16" t="s">
        <v>573</v>
      </c>
    </row>
    <row r="3" customFormat="false" ht="15" hidden="false" customHeight="true" outlineLevel="0" collapsed="false">
      <c r="B3" s="17" t="s">
        <v>574</v>
      </c>
    </row>
    <row r="5" customFormat="false" ht="15" hidden="false" customHeight="true" outlineLevel="0" collapsed="false">
      <c r="B5" s="19" t="s">
        <v>575</v>
      </c>
      <c r="C5" s="19" t="s">
        <v>576</v>
      </c>
    </row>
    <row r="6" customFormat="false" ht="15" hidden="false" customHeight="true" outlineLevel="0" collapsed="false">
      <c r="B6" s="29" t="s">
        <v>236</v>
      </c>
      <c r="C6" s="22" t="s">
        <v>577</v>
      </c>
    </row>
    <row r="7" customFormat="false" ht="15" hidden="false" customHeight="true" outlineLevel="0" collapsed="false">
      <c r="B7" s="29" t="s">
        <v>578</v>
      </c>
      <c r="C7" s="22" t="s">
        <v>579</v>
      </c>
    </row>
    <row r="8" customFormat="false" ht="15" hidden="false" customHeight="true" outlineLevel="0" collapsed="false">
      <c r="B8" s="29" t="s">
        <v>580</v>
      </c>
      <c r="C8" s="22" t="s">
        <v>581</v>
      </c>
    </row>
    <row r="9" customFormat="false" ht="15" hidden="false" customHeight="true" outlineLevel="0" collapsed="false">
      <c r="B9" s="29" t="s">
        <v>582</v>
      </c>
      <c r="C9" s="22" t="s">
        <v>583</v>
      </c>
    </row>
    <row r="10" customFormat="false" ht="15" hidden="false" customHeight="true" outlineLevel="0" collapsed="false">
      <c r="B10" s="29" t="s">
        <v>158</v>
      </c>
      <c r="C10" s="22" t="s">
        <v>584</v>
      </c>
    </row>
    <row r="11" customFormat="false" ht="15" hidden="false" customHeight="true" outlineLevel="0" collapsed="false">
      <c r="B11" s="29" t="s">
        <v>147</v>
      </c>
      <c r="C11" s="22" t="s">
        <v>585</v>
      </c>
    </row>
    <row r="12" customFormat="false" ht="15" hidden="false" customHeight="true" outlineLevel="0" collapsed="false">
      <c r="B12" s="29" t="s">
        <v>58</v>
      </c>
      <c r="C12" s="22" t="s">
        <v>586</v>
      </c>
    </row>
    <row r="13" customFormat="false" ht="15" hidden="false" customHeight="true" outlineLevel="0" collapsed="false">
      <c r="B13" s="29" t="s">
        <v>133</v>
      </c>
      <c r="C13" s="22" t="s">
        <v>587</v>
      </c>
    </row>
    <row r="14" customFormat="false" ht="15" hidden="false" customHeight="true" outlineLevel="0" collapsed="false">
      <c r="B14" s="29" t="s">
        <v>77</v>
      </c>
      <c r="C14" s="22" t="s">
        <v>588</v>
      </c>
    </row>
    <row r="15" customFormat="false" ht="15" hidden="false" customHeight="true" outlineLevel="0" collapsed="false">
      <c r="B15" s="29" t="s">
        <v>248</v>
      </c>
      <c r="C15" s="22" t="s">
        <v>589</v>
      </c>
    </row>
    <row r="16" customFormat="false" ht="15" hidden="false" customHeight="true" outlineLevel="0" collapsed="false">
      <c r="B16" s="29" t="s">
        <v>192</v>
      </c>
      <c r="C16" s="22" t="s">
        <v>590</v>
      </c>
    </row>
    <row r="17" customFormat="false" ht="15" hidden="false" customHeight="true" outlineLevel="0" collapsed="false">
      <c r="B17" s="29" t="s">
        <v>386</v>
      </c>
      <c r="C17" s="22" t="s">
        <v>385</v>
      </c>
    </row>
    <row r="18" customFormat="false" ht="15" hidden="false" customHeight="true" outlineLevel="0" collapsed="false">
      <c r="B18" s="29" t="s">
        <v>310</v>
      </c>
      <c r="C18" s="22" t="s">
        <v>475</v>
      </c>
    </row>
    <row r="19" customFormat="false" ht="15" hidden="false" customHeight="true" outlineLevel="0" collapsed="false">
      <c r="B19" s="29" t="s">
        <v>260</v>
      </c>
      <c r="C19" s="22" t="s">
        <v>591</v>
      </c>
    </row>
    <row r="20" customFormat="false" ht="15" hidden="false" customHeight="true" outlineLevel="0" collapsed="false">
      <c r="B20" s="29" t="s">
        <v>592</v>
      </c>
      <c r="C20" s="22" t="s">
        <v>593</v>
      </c>
    </row>
    <row r="21" customFormat="false" ht="15" hidden="false" customHeight="true" outlineLevel="0" collapsed="false">
      <c r="B21" s="29" t="s">
        <v>94</v>
      </c>
      <c r="C21" s="22" t="s">
        <v>594</v>
      </c>
    </row>
    <row r="22" customFormat="false" ht="15" hidden="false" customHeight="true" outlineLevel="0" collapsed="false">
      <c r="B22" s="29" t="s">
        <v>595</v>
      </c>
      <c r="C22" s="22" t="s">
        <v>596</v>
      </c>
    </row>
    <row r="23" customFormat="false" ht="15" hidden="false" customHeight="true" outlineLevel="0" collapsed="false">
      <c r="B23" s="29" t="s">
        <v>421</v>
      </c>
      <c r="C23" s="22" t="s">
        <v>597</v>
      </c>
    </row>
    <row r="24" customFormat="false" ht="15" hidden="false" customHeight="true" outlineLevel="0" collapsed="false">
      <c r="B24" s="29" t="s">
        <v>598</v>
      </c>
      <c r="C24" s="22" t="s">
        <v>599</v>
      </c>
    </row>
    <row r="25" customFormat="false" ht="15" hidden="false" customHeight="true" outlineLevel="0" collapsed="false">
      <c r="B25" s="29" t="s">
        <v>403</v>
      </c>
      <c r="C25" s="22" t="s">
        <v>600</v>
      </c>
    </row>
    <row r="26" customFormat="false" ht="15" hidden="false" customHeight="true" outlineLevel="0" collapsed="false">
      <c r="B26" s="29" t="s">
        <v>121</v>
      </c>
      <c r="C26" s="22" t="s">
        <v>601</v>
      </c>
    </row>
    <row r="27" customFormat="false" ht="15" hidden="false" customHeight="true" outlineLevel="0" collapsed="false">
      <c r="B27" s="29" t="s">
        <v>320</v>
      </c>
      <c r="C27" s="22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2026-07-16T04:54:10Z</dcterms:created>
  <dc:creator>openpyxl</dc:creator>
  <dc:description/>
  <dc:language>en-US</dc:language>
  <cp:lastModifiedBy/>
  <dcterms:modified xsi:type="dcterms:W3CDTF">2026-07-16T05:24:29Z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